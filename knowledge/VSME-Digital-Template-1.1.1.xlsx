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c5df9a5b1dedd10a/Desktop/ESRS platform/esrs-sme-platform/knowledge/"/>
    </mc:Choice>
  </mc:AlternateContent>
  <xr:revisionPtr revIDLastSave="5078" documentId="8_{8F8C91A4-9BAF-480E-93C6-D7EABA290476}" xr6:coauthVersionLast="47" xr6:coauthVersionMax="47" xr10:uidLastSave="{C4C5692C-8051-4F30-87A7-9B828E79E2D0}"/>
  <bookViews>
    <workbookView xWindow="-108" yWindow="-108" windowWidth="23256" windowHeight="12456" tabRatio="672" activeTab="3"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ChemicalProduction">'Governance Disclosures'!$H$18</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child_labour">Translations!$B$364</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chemicals_production">Translations!$B$393</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L80" i="1" l="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0" i="12" l="1"/>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29"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90" i="1"/>
  <c r="L191" i="1"/>
  <c r="L192" i="1"/>
  <c r="L193" i="1"/>
  <c r="L194" i="1"/>
  <c r="L189" i="1"/>
  <c r="L188"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S19" i="8"/>
  <c r="D11" i="8"/>
  <c r="D17" i="8"/>
  <c r="AQ19" i="8"/>
  <c r="D16" i="8"/>
  <c r="AY19" i="8"/>
  <c r="D19" i="8"/>
  <c r="D15" i="8"/>
  <c r="D18" i="8"/>
  <c r="AU19" i="8"/>
  <c r="W19" i="8"/>
  <c r="D12" i="8"/>
  <c r="AE19" i="8"/>
  <c r="G11"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H18" i="12"/>
  <c r="C38" i="16" s="1"/>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I450" i="3"/>
  <c r="F330" i="3"/>
  <c r="E304" i="1"/>
  <c r="H573" i="3"/>
  <c r="F329" i="3"/>
  <c r="F327" i="3"/>
  <c r="F123" i="3"/>
  <c r="E303" i="1"/>
  <c r="L23" i="1"/>
  <c r="L22" i="1"/>
  <c r="H571" i="3"/>
  <c r="C30" i="16"/>
  <c r="C54" i="16"/>
  <c r="F10" i="3"/>
  <c r="C16" i="16"/>
  <c r="C15" i="16" s="1"/>
  <c r="F122" i="3"/>
  <c r="F6"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C39" i="16"/>
  <c r="J47" i="1"/>
  <c r="G47" i="1"/>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3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20" i="8" l="1"/>
  <c r="S21" i="8" s="1"/>
  <c r="AY20" i="8"/>
  <c r="AY21" i="8" s="1"/>
  <c r="AM20" i="8"/>
  <c r="L57" i="1"/>
  <c r="C53" i="16" s="1"/>
  <c r="C50" i="16" s="1"/>
  <c r="C27" i="16"/>
  <c r="C33" i="16" l="1"/>
  <c r="G424" i="1"/>
  <c r="G425" i="1"/>
  <c r="L323" i="1" l="1"/>
  <c r="D167" i="12" l="1"/>
  <c r="G45" i="1" l="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D12" i="12"/>
  <c r="D11" i="12" s="1"/>
  <c r="F3" i="12"/>
  <c r="F2" i="12"/>
  <c r="K466" i="3"/>
  <c r="H454" i="3"/>
  <c r="I454" i="3" s="1"/>
  <c r="P22" i="8" l="1"/>
  <c r="H17" i="7"/>
  <c r="D6" i="9"/>
  <c r="K549" i="3" l="1"/>
  <c r="J45" i="1" l="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J26" i="1"/>
  <c r="G26" i="1"/>
  <c r="D26" i="1"/>
  <c r="G67" i="1" s="1"/>
  <c r="K25" i="1"/>
  <c r="D25" i="1"/>
  <c r="G66" i="1" s="1"/>
  <c r="F11" i="8" l="1"/>
  <c r="AQ20" i="8"/>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R22" i="8" l="1"/>
  <c r="F17" i="8"/>
  <c r="AB22" i="8"/>
  <c r="F13" i="8"/>
  <c r="AV22" i="8"/>
  <c r="F18" i="8"/>
  <c r="AZ22" i="8"/>
  <c r="F19" i="8"/>
  <c r="AN22" i="8"/>
  <c r="F16" i="8"/>
  <c r="AI21" i="8"/>
  <c r="AI23" i="8" s="1"/>
  <c r="AJ22" i="8" s="1"/>
  <c r="AE23" i="8"/>
  <c r="B32" i="8" s="1"/>
  <c r="C14" i="16"/>
  <c r="T22" i="8"/>
  <c r="A32" i="8" l="1"/>
  <c r="A29" i="8" s="1"/>
  <c r="AF22" i="8"/>
  <c r="G14" i="1" s="1"/>
  <c r="F14" i="8"/>
  <c r="F15" i="8"/>
  <c r="J14" i="1"/>
  <c r="L12" i="1" l="1" a="1"/>
  <c r="L12" i="1" s="1"/>
  <c r="C21" i="16" s="1"/>
  <c r="K14" i="1"/>
  <c r="C12" i="16"/>
  <c r="C10" i="16" s="1"/>
  <c r="L324" i="1" l="1"/>
  <c r="L326" i="1"/>
  <c r="L327" i="1"/>
  <c r="L328" i="1"/>
  <c r="L329" i="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<sst xmlns="http://schemas.openxmlformats.org/spreadsheetml/2006/main" count="9983" uniqueCount="9539">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</sst>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11">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6" fillId="0" borderId="48"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0" fillId="6" borderId="1" xfId="0" applyFill="1" applyBorder="1" applyAlignment="1" applyProtection="1">
      <alignment horizontal="center"/>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6" fillId="0" borderId="7" xfId="3" applyFill="1" applyBorder="1" applyAlignment="1" applyProtection="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2" fontId="0" fillId="13" borderId="14"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textové prepojenie" xfId="3" builtinId="8"/>
    <cellStyle name="Normálna" xfId="0" builtinId="0"/>
    <cellStyle name="Percentá"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opLeftCell="A14"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9059</v>
      </c>
      <c r="D1" s="328"/>
    </row>
    <row r="2" spans="2:18" x14ac:dyDescent="0.3">
      <c r="B2" s="328" t="str">
        <f>template_label_publication_date</f>
        <v>Publication date:</v>
      </c>
      <c r="C2" s="329">
        <v>45988</v>
      </c>
      <c r="D2" s="328"/>
    </row>
    <row r="3" spans="2:18" ht="35.549999999999997" customHeight="1" x14ac:dyDescent="0.3">
      <c r="B3" s="505" t="str" cm="1">
        <f t="array" aca="1" ref="B3" ca="1">IF(ISERROR(CELL("filename",A1)),"Warning: The Digital Template was developed and tested using Microsoft Excel 365. Functionality may be limited or incorrect when using other spreadsheet applications or older versions of Excel.","")</f>
        <v/>
      </c>
      <c r="C3" s="505"/>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5687</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06"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07"/>
      <c r="D15" s="507"/>
      <c r="E15" s="508"/>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09" t="str">
        <f>template_label_0_provide_information_that_is_mandatory_in_order_to_generate_the_vsme_and_xbrl_report</f>
        <v>0. Provide information that is mandatory in order to generate the VSME and XBRL Report.</v>
      </c>
      <c r="C19" s="510"/>
      <c r="D19" s="510"/>
      <c r="E19" s="511"/>
      <c r="F19" s="340"/>
      <c r="G19" s="340"/>
      <c r="H19" s="340"/>
      <c r="I19" s="340"/>
      <c r="J19" s="340"/>
      <c r="K19" s="340"/>
      <c r="L19" s="340"/>
      <c r="M19" s="340"/>
      <c r="N19" s="340"/>
      <c r="O19" s="340"/>
      <c r="P19" s="340"/>
      <c r="Q19" s="340"/>
      <c r="R19" s="340"/>
    </row>
    <row r="20" spans="1:18" ht="59.4" customHeight="1" x14ac:dyDescent="0.3">
      <c r="B20" s="509"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10"/>
      <c r="D20" s="510"/>
      <c r="E20" s="511"/>
      <c r="F20" s="340"/>
      <c r="G20" s="340"/>
      <c r="H20" s="340"/>
      <c r="I20" s="340"/>
      <c r="J20" s="340"/>
      <c r="K20" s="340"/>
      <c r="L20" s="340"/>
      <c r="M20" s="340"/>
      <c r="N20" s="340"/>
      <c r="O20" s="340"/>
      <c r="P20" s="340"/>
      <c r="Q20" s="340"/>
      <c r="R20" s="340"/>
    </row>
    <row r="21" spans="1:18" ht="39.6" customHeight="1" x14ac:dyDescent="0.3">
      <c r="B21" s="530"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31"/>
      <c r="D21" s="531"/>
      <c r="E21" s="532"/>
      <c r="F21" s="341"/>
      <c r="G21" s="341"/>
      <c r="H21" s="341"/>
      <c r="I21" s="341"/>
      <c r="J21" s="341"/>
      <c r="K21" s="341"/>
      <c r="L21" s="341"/>
      <c r="M21" s="341"/>
      <c r="N21" s="341"/>
      <c r="O21" s="341"/>
      <c r="P21" s="341"/>
      <c r="Q21" s="341"/>
      <c r="R21" s="341"/>
    </row>
    <row r="22" spans="1:18" ht="36" customHeight="1" x14ac:dyDescent="0.3">
      <c r="B22" s="509"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10"/>
      <c r="D22" s="510"/>
      <c r="E22" s="511"/>
      <c r="F22" s="341"/>
      <c r="G22" s="341"/>
      <c r="H22" s="341"/>
      <c r="I22" s="341"/>
      <c r="J22" s="341"/>
      <c r="K22" s="341"/>
      <c r="L22" s="341"/>
      <c r="M22" s="341"/>
      <c r="N22" s="341"/>
      <c r="O22" s="341"/>
      <c r="P22" s="341"/>
      <c r="Q22" s="341"/>
      <c r="R22" s="341"/>
    </row>
    <row r="23" spans="1:18" s="342" customFormat="1" ht="18" x14ac:dyDescent="0.3">
      <c r="B23" s="530" t="str">
        <f>template_label_4_validate_the_data_entered_by_checking_the_validation_status</f>
        <v>4. Validate the data entered by checking the validation status. The report is considered incomplete or erroneous if the validation fails, which might result in an invalid XBRL report.</v>
      </c>
      <c r="C23" s="531"/>
      <c r="D23" s="531"/>
      <c r="E23" s="532"/>
      <c r="F23" s="341"/>
      <c r="G23" s="341"/>
      <c r="H23" s="341"/>
      <c r="I23" s="341"/>
      <c r="J23" s="341"/>
      <c r="K23" s="341"/>
      <c r="L23" s="341"/>
      <c r="M23" s="341"/>
      <c r="N23" s="341"/>
      <c r="O23" s="341"/>
      <c r="P23" s="341"/>
      <c r="Q23" s="341"/>
      <c r="R23" s="341"/>
    </row>
    <row r="24" spans="1:18" ht="18" x14ac:dyDescent="0.3">
      <c r="B24" s="530" t="str">
        <f>template_label_5_convert_this_template_to_an_inline_xbrl_report</f>
        <v>5. Convert this template to an Inline XBRL report (or XBRL-JSON, XBRL-CSV), using the online converter. Pay attention to the XBRL validation performed by the validator.</v>
      </c>
      <c r="C24" s="531"/>
      <c r="D24" s="531"/>
      <c r="E24" s="532"/>
      <c r="F24" s="341"/>
      <c r="G24" s="341"/>
      <c r="H24" s="341"/>
      <c r="I24" s="341"/>
      <c r="J24" s="341"/>
      <c r="K24" s="341"/>
      <c r="L24" s="341"/>
      <c r="M24" s="341"/>
      <c r="N24" s="341"/>
      <c r="O24" s="341"/>
      <c r="P24" s="341"/>
      <c r="Q24" s="341"/>
      <c r="R24" s="341"/>
    </row>
    <row r="25" spans="1:18" ht="24.6" customHeight="1" x14ac:dyDescent="0.3">
      <c r="B25" s="518" t="str">
        <f>template_label_6_the_undertaking_may_also_upload_the_report_to_public_repositories_or_a_webpage</f>
        <v>6. The undertaking may also upload the report to public repositories or a webpage.</v>
      </c>
      <c r="C25" s="519"/>
      <c r="D25" s="519"/>
      <c r="E25" s="520"/>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15" t="str">
        <f>template_label_indicates_that_the_disclosure_is_from_the_general_principles_of_the_vsme</f>
        <v>Indicates that the disclosure is from the general principles of the VSME.</v>
      </c>
      <c r="D28" s="516"/>
      <c r="E28" s="517"/>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15" t="str">
        <f>template_label_indicates_that_the_disclosure_is_from_the_vsme_basic_module</f>
        <v>Indicates that the disclosure is from the VSME Basic Module.</v>
      </c>
      <c r="D29" s="516"/>
      <c r="E29" s="517"/>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15" t="str">
        <f>template_label_indicates_that_the_disclosure_is_from_the_vsme_comprehensive_module</f>
        <v>Indicates that the disclosure is from the VSME Comprehensive Module.</v>
      </c>
      <c r="D30" s="516"/>
      <c r="E30" s="517"/>
      <c r="F30" s="339"/>
      <c r="G30" s="347"/>
      <c r="H30" s="347"/>
      <c r="I30" s="347"/>
      <c r="J30" s="347"/>
      <c r="K30" s="347"/>
      <c r="L30" s="347"/>
      <c r="M30" s="347"/>
      <c r="N30" s="347"/>
      <c r="O30" s="347"/>
      <c r="P30" s="347"/>
      <c r="Q30" s="347"/>
      <c r="R30" s="347"/>
    </row>
    <row r="31" spans="1:18" ht="35.85" customHeight="1" x14ac:dyDescent="0.35">
      <c r="A31" s="345"/>
      <c r="B31" s="349"/>
      <c r="C31" s="512" t="str">
        <f>template_label_indicates_that_the_cell_is_automatically_calculated_and_that_no_data_entry_is_required</f>
        <v>Indicates that the cell is automatically calculated and that no data entry is required.</v>
      </c>
      <c r="D31" s="513"/>
      <c r="E31" s="514"/>
      <c r="F31" s="339"/>
      <c r="G31" s="350"/>
      <c r="H31" s="350"/>
      <c r="I31" s="350"/>
      <c r="J31" s="350"/>
      <c r="K31" s="350"/>
      <c r="L31" s="350"/>
      <c r="M31" s="350"/>
      <c r="N31" s="350"/>
      <c r="O31" s="350"/>
      <c r="P31" s="350"/>
      <c r="Q31" s="350"/>
      <c r="R31" s="350"/>
    </row>
    <row r="32" spans="1:18" ht="63" customHeight="1" x14ac:dyDescent="0.35">
      <c r="A32" s="345"/>
      <c r="B32" s="351"/>
      <c r="C32" s="512"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13"/>
      <c r="E32" s="514"/>
      <c r="F32" s="339"/>
      <c r="G32" s="350"/>
      <c r="H32" s="350"/>
      <c r="I32" s="350"/>
      <c r="J32" s="350"/>
      <c r="K32" s="350"/>
      <c r="L32" s="350"/>
      <c r="M32" s="350"/>
      <c r="N32" s="350"/>
      <c r="O32" s="350"/>
      <c r="P32" s="350"/>
      <c r="Q32" s="350"/>
      <c r="R32" s="350"/>
    </row>
    <row r="33" spans="1:18" ht="35.85" customHeight="1" x14ac:dyDescent="0.35">
      <c r="A33" s="345"/>
      <c r="B33" s="352"/>
      <c r="C33" s="512"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13"/>
      <c r="E33" s="514"/>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15"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16"/>
      <c r="E34" s="517"/>
      <c r="F34" s="339"/>
      <c r="G34" s="347"/>
      <c r="H34" s="347"/>
      <c r="I34" s="347"/>
      <c r="J34" s="347"/>
      <c r="K34" s="347"/>
      <c r="L34" s="347"/>
      <c r="M34" s="347"/>
      <c r="N34" s="347"/>
      <c r="O34" s="347"/>
      <c r="P34" s="347"/>
      <c r="Q34" s="347"/>
      <c r="R34" s="347"/>
    </row>
    <row r="35" spans="1:18" ht="22.35" customHeight="1" x14ac:dyDescent="0.35">
      <c r="B35" s="354" t="s">
        <v>2886</v>
      </c>
      <c r="C35" s="515" t="str">
        <f>template_label_indicates_that_data_entry_is_ok_and_the_undertaking_can_proceed_to_the_next_disclosure</f>
        <v>Indicates that data entry is OK and the undertaking can proceed to the next disclosure.</v>
      </c>
      <c r="D35" s="516"/>
      <c r="E35" s="517"/>
      <c r="F35" s="339"/>
      <c r="G35" s="347"/>
      <c r="H35" s="347"/>
      <c r="I35" s="347"/>
      <c r="J35" s="347"/>
      <c r="K35" s="347"/>
      <c r="L35" s="347"/>
      <c r="M35" s="347"/>
      <c r="N35" s="347"/>
      <c r="O35" s="347"/>
      <c r="P35" s="347"/>
      <c r="Q35" s="347"/>
      <c r="R35" s="347"/>
    </row>
    <row r="36" spans="1:18" ht="22.35" customHeight="1" x14ac:dyDescent="0.35">
      <c r="B36" s="355"/>
      <c r="C36" s="515" t="str">
        <f>template_label_no_value_can_be_entered_in_the_cell</f>
        <v>No value can be entered in the cell.</v>
      </c>
      <c r="D36" s="516"/>
      <c r="E36" s="517"/>
      <c r="F36" s="339"/>
      <c r="G36" s="347"/>
      <c r="H36" s="347"/>
      <c r="I36" s="347"/>
      <c r="J36" s="347"/>
      <c r="K36" s="347"/>
      <c r="L36" s="347"/>
      <c r="M36" s="347"/>
      <c r="N36" s="347"/>
      <c r="O36" s="347"/>
      <c r="P36" s="347"/>
      <c r="Q36" s="347"/>
      <c r="R36" s="347"/>
    </row>
    <row r="37" spans="1:18" ht="45.75" customHeight="1" x14ac:dyDescent="0.35">
      <c r="A37" s="345"/>
      <c r="B37" s="356" t="s">
        <v>2880</v>
      </c>
      <c r="C37" s="512" t="str">
        <f>template_label_lists_can_be_expanded_using_the_plus_button_on_the_left</f>
        <v>Lists can be expanded using the plus [+] button on the left. If the number of rows is not sufficient, additional rows can be added by right clicking the second row and selecting "Insert row".</v>
      </c>
      <c r="D37" s="513"/>
      <c r="E37" s="514"/>
      <c r="F37" s="339"/>
      <c r="G37" s="357"/>
      <c r="H37" s="357"/>
      <c r="I37" s="357"/>
      <c r="J37" s="357"/>
      <c r="K37" s="357"/>
      <c r="L37" s="357"/>
      <c r="M37" s="357"/>
      <c r="N37" s="357"/>
      <c r="O37" s="357"/>
      <c r="P37" s="357"/>
      <c r="Q37" s="357"/>
      <c r="R37" s="357"/>
    </row>
    <row r="42" spans="1:18" x14ac:dyDescent="0.3">
      <c r="B42" s="527"/>
      <c r="C42" s="528"/>
      <c r="D42" s="528"/>
      <c r="E42" s="529"/>
    </row>
    <row r="43" spans="1:18" ht="97.2" customHeight="1" x14ac:dyDescent="0.4">
      <c r="B43" s="521"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22"/>
      <c r="D43" s="522"/>
      <c r="E43" s="523"/>
    </row>
    <row r="44" spans="1:18" ht="21" x14ac:dyDescent="0.4">
      <c r="B44" s="524" t="str">
        <f>template_label_reproduction_and_use_rights_are_strictly_limited</f>
        <v>Reproduction and use rights are strictly limited. For further details please contact efragsecretariat@efrag.org</v>
      </c>
      <c r="C44" s="525"/>
      <c r="D44" s="525"/>
      <c r="E44" s="526"/>
    </row>
  </sheetData>
  <sheetProtection algorithmName="SHA-512" hashValue="nxii7hELUFAG4Wt7lOQOi5/IJ2y/jJWhGn77B3NV6ef8d+HSnZsBAHY5Tt3DJC8cOBPZC2zEcEKYSBIciVUO0w==" saltValue="AN6e8hBB2ALnsbDUzxjFoQ=="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A2" zoomScaleNormal="100" workbookViewId="0">
      <selection activeCell="B6" sqref="B6"/>
    </sheetView>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MISSING VALUE</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v>
      </c>
    </row>
    <row r="13" spans="2:3"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v>
      </c>
    </row>
    <row r="23" spans="2:3" x14ac:dyDescent="0.3">
      <c r="B23" s="429" t="str">
        <f>template_label_greenhouse_gas_emission_intensity_per_turnover_validation</f>
        <v>Greenhouse gas emission intensity per turnover</v>
      </c>
      <c r="C23" s="371" t="str">
        <f>IF(C22=template_label_ok,template_label_ok,"-")</f>
        <v>-</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v>
      </c>
    </row>
    <row r="48" spans="2:3"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opLeftCell="A331" zoomScaleNormal="100" workbookViewId="0">
      <selection activeCell="C2" sqref="C2:E2"/>
    </sheetView>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622" t="str">
        <f>template_label_information_on_the_report_necessary_for_xbrl &amp; " " &amp; template_label_always_to_be_reported</f>
        <v>Information on the report necessary for  XBRL [Always to be reported]</v>
      </c>
      <c r="D2" s="623"/>
      <c r="E2" s="624"/>
    </row>
    <row r="3" spans="1:11" ht="14.4" customHeight="1" x14ac:dyDescent="0.3">
      <c r="A3" s="88"/>
      <c r="B3" s="88"/>
      <c r="C3" s="124" t="str">
        <f>template_label_name_of_the_reporting_entity</f>
        <v>Name of the reporting entity</v>
      </c>
      <c r="D3" s="635"/>
      <c r="E3" s="636"/>
      <c r="F3" s="11" t="str">
        <f>IF(D3 = "", template_label_missing_value, template_label_ok)</f>
        <v>MISSING VALUE</v>
      </c>
    </row>
    <row r="4" spans="1:11" ht="14.4" customHeight="1" x14ac:dyDescent="0.3">
      <c r="A4" s="88"/>
      <c r="B4" s="88"/>
      <c r="C4" s="124" t="str">
        <f>template_label_identifier_of_the_reporting_entity</f>
        <v>Identifier of the reporting entity (select and specify on the right)</v>
      </c>
      <c r="D4" s="385"/>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37"/>
      <c r="E5" s="638"/>
      <c r="F5" s="11" t="str">
        <f>IF(D5 = "", template_label_missing_value, template_label_ok)</f>
        <v>MISSING VALUE</v>
      </c>
      <c r="H5" s="52"/>
    </row>
    <row r="6" spans="1:11" ht="14.4" customHeight="1" x14ac:dyDescent="0.3">
      <c r="C6" s="245" t="str">
        <f>template_label_starting_year</f>
        <v>Starting year</v>
      </c>
      <c r="D6" s="598"/>
      <c r="E6" s="599"/>
      <c r="F6" s="549"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533" t="str">
        <f>template_label_date_warning</f>
        <v>ℹ️ If VALUE INCONSISTENCY message appears on the right, please ensure that the reporting period end date is greater than the reporting period start date.</v>
      </c>
      <c r="H6" s="533"/>
      <c r="I6" s="533"/>
      <c r="J6" s="533"/>
      <c r="K6" s="533"/>
    </row>
    <row r="7" spans="1:11" ht="14.4" customHeight="1" x14ac:dyDescent="0.3">
      <c r="C7" s="140" t="str">
        <f>template_label_starting_month</f>
        <v>Starting month</v>
      </c>
      <c r="D7" s="639"/>
      <c r="E7" s="640"/>
      <c r="F7" s="549"/>
      <c r="G7" s="533"/>
      <c r="H7" s="533"/>
      <c r="I7" s="533"/>
      <c r="J7" s="533"/>
      <c r="K7" s="533"/>
    </row>
    <row r="8" spans="1:11" ht="14.4" customHeight="1" x14ac:dyDescent="0.3">
      <c r="C8" s="140" t="str">
        <f>template_label_starting_day</f>
        <v>Starting day</v>
      </c>
      <c r="D8" s="550"/>
      <c r="E8" s="551"/>
      <c r="F8" s="549"/>
      <c r="G8" s="533"/>
      <c r="H8" s="533"/>
      <c r="I8" s="533"/>
      <c r="J8" s="533"/>
      <c r="K8" s="533"/>
    </row>
    <row r="9" spans="1:11" ht="14.4" customHeight="1" thickBot="1" x14ac:dyDescent="0.35">
      <c r="C9" s="121" t="str">
        <f>template_label_reporting_period_start_date</f>
        <v>Reporting period start date (yyyy-mm-dd)</v>
      </c>
      <c r="D9" s="596" t="str">
        <f>IF(OR(ISBLANK(D6), ISBLANK(D7), ISBLANK(D8)), "-", D6 &amp; "-" &amp; TEXT(D7, "00") &amp; "-" &amp; TEXT(D8, "00"))</f>
        <v>-</v>
      </c>
      <c r="E9" s="597"/>
      <c r="F9"/>
      <c r="H9" s="52"/>
    </row>
    <row r="10" spans="1:11" ht="14.4" customHeight="1" x14ac:dyDescent="0.3">
      <c r="C10" s="245" t="str">
        <f>template_label_ending_year</f>
        <v>Ending year</v>
      </c>
      <c r="D10" s="598"/>
      <c r="E10" s="599"/>
      <c r="F10" s="549"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533" t="str">
        <f>template_label_date_warning</f>
        <v>ℹ️ If VALUE INCONSISTENCY message appears on the right, please ensure that the reporting period end date is greater than the reporting period start date.</v>
      </c>
      <c r="H10" s="533"/>
      <c r="I10" s="533"/>
      <c r="J10" s="533"/>
      <c r="K10" s="533"/>
    </row>
    <row r="11" spans="1:11" ht="14.4" customHeight="1" x14ac:dyDescent="0.3">
      <c r="C11" s="140" t="str">
        <f>template_label_ending_month</f>
        <v>Ending month</v>
      </c>
      <c r="D11" s="600"/>
      <c r="E11" s="601"/>
      <c r="F11" s="549"/>
      <c r="G11" s="533"/>
      <c r="H11" s="533"/>
      <c r="I11" s="533"/>
      <c r="J11" s="533"/>
      <c r="K11" s="533"/>
    </row>
    <row r="12" spans="1:11" ht="14.4" customHeight="1" x14ac:dyDescent="0.3">
      <c r="C12" s="140" t="s">
        <v>3060</v>
      </c>
      <c r="D12" s="602"/>
      <c r="E12" s="603"/>
      <c r="F12" s="549"/>
      <c r="G12" s="533"/>
      <c r="H12" s="533"/>
      <c r="I12" s="533"/>
      <c r="J12" s="533"/>
      <c r="K12" s="533"/>
    </row>
    <row r="13" spans="1:11" ht="14.4" customHeight="1" thickBot="1" x14ac:dyDescent="0.35">
      <c r="A13" s="88"/>
      <c r="B13" s="88"/>
      <c r="C13" s="121" t="str">
        <f>template_label_reporting_period_end_date</f>
        <v>Reporting period end date  (yyyy-mm-dd)</v>
      </c>
      <c r="D13" s="596" t="str">
        <f>IF(OR(ISBLANK(D10), ISBLANK(D11), ISBLANK(D12)), "-", D10 &amp; "-" &amp; TEXT(D11, "00") &amp; "-" &amp; TEXT(D12, "00"))</f>
        <v>-</v>
      </c>
      <c r="E13" s="597"/>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627" t="str">
        <f>template_label_information_on_previous_reporting_period</f>
        <v>Information on previous reporting period</v>
      </c>
      <c r="D16" s="628"/>
      <c r="E16" s="629"/>
    </row>
    <row r="17" spans="1:7" x14ac:dyDescent="0.3">
      <c r="A17" s="91"/>
      <c r="B17" s="88"/>
      <c r="C17" s="632">
        <v>16</v>
      </c>
      <c r="D17" s="633"/>
      <c r="E17" s="634"/>
      <c r="F17" s="246"/>
    </row>
    <row r="18" spans="1:7" ht="14.4" customHeight="1" x14ac:dyDescent="0.3">
      <c r="C18" s="630" t="str">
        <f>template_label_disclosures_from_the_previous_reporting_period_that_remain_unchanged</f>
        <v>This report contains disclosures from the previous reporting period that remain unchanged</v>
      </c>
      <c r="D18" s="631"/>
      <c r="E18" s="57" t="b">
        <v>0</v>
      </c>
      <c r="F18" s="11" t="str">
        <f>IF(E18 = FALSE, "", template_label_ok)</f>
        <v/>
      </c>
    </row>
    <row r="19" spans="1:7" ht="14.4" customHeight="1" x14ac:dyDescent="0.3">
      <c r="C19" s="607" t="str">
        <f>template_label_disclosures_for_which_no_changes_are_reported_compared_to_the_previous_period_reporting</f>
        <v>List of disclosures for which no changes are reported compared to the previous period reporting</v>
      </c>
      <c r="D19" s="608"/>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09"/>
      <c r="D20" s="610"/>
      <c r="E20" s="59"/>
      <c r="F20" s="11" t="str">
        <f t="shared" ref="F20:F27" si="0">IF($E$18 = FALSE, "",
IF(E20 = "", "",
IF(COUNTIF($E$19:$E$118, E20) &gt; 1, template_label_value_inconsistency, template_label_ok)))</f>
        <v/>
      </c>
    </row>
    <row r="21" spans="1:7" ht="14.4" customHeight="1" x14ac:dyDescent="0.3">
      <c r="C21" s="609"/>
      <c r="D21" s="610"/>
      <c r="E21" s="59"/>
      <c r="F21" s="11" t="str">
        <f t="shared" si="0"/>
        <v/>
      </c>
    </row>
    <row r="22" spans="1:7" ht="14.4" hidden="1" customHeight="1" outlineLevel="2" x14ac:dyDescent="0.3">
      <c r="C22" s="609"/>
      <c r="D22" s="610"/>
      <c r="E22" s="59"/>
      <c r="F22" s="11" t="str">
        <f t="shared" si="0"/>
        <v/>
      </c>
    </row>
    <row r="23" spans="1:7" ht="14.4" hidden="1" customHeight="1" outlineLevel="2" x14ac:dyDescent="0.3">
      <c r="C23" s="609"/>
      <c r="D23" s="610"/>
      <c r="E23" s="59"/>
      <c r="F23" s="11" t="str">
        <f t="shared" si="0"/>
        <v/>
      </c>
    </row>
    <row r="24" spans="1:7" ht="14.4" hidden="1" customHeight="1" outlineLevel="2" x14ac:dyDescent="0.3">
      <c r="C24" s="609"/>
      <c r="D24" s="610"/>
      <c r="E24" s="59"/>
      <c r="F24" s="11" t="str">
        <f t="shared" si="0"/>
        <v/>
      </c>
    </row>
    <row r="25" spans="1:7" ht="14.4" hidden="1" customHeight="1" outlineLevel="2" x14ac:dyDescent="0.3">
      <c r="C25" s="609"/>
      <c r="D25" s="610"/>
      <c r="E25" s="59"/>
      <c r="F25" s="11" t="str">
        <f t="shared" si="0"/>
        <v/>
      </c>
    </row>
    <row r="26" spans="1:7" ht="14.4" hidden="1" customHeight="1" outlineLevel="2" x14ac:dyDescent="0.3">
      <c r="C26" s="609"/>
      <c r="D26" s="610"/>
      <c r="E26" s="59"/>
      <c r="F26" s="11" t="str">
        <f t="shared" si="0"/>
        <v/>
      </c>
    </row>
    <row r="27" spans="1:7" ht="14.4" hidden="1" customHeight="1" outlineLevel="2" x14ac:dyDescent="0.3">
      <c r="C27" s="609"/>
      <c r="D27" s="610"/>
      <c r="E27" s="59"/>
      <c r="F27" s="11" t="str">
        <f t="shared" si="0"/>
        <v/>
      </c>
    </row>
    <row r="28" spans="1:7" ht="14.4" hidden="1" customHeight="1" outlineLevel="2" x14ac:dyDescent="0.3">
      <c r="C28" s="609"/>
      <c r="D28" s="610"/>
      <c r="E28" s="59"/>
      <c r="F28" s="11"/>
    </row>
    <row r="29" spans="1:7" ht="14.4" hidden="1" customHeight="1" outlineLevel="2" x14ac:dyDescent="0.3">
      <c r="C29" s="609"/>
      <c r="D29" s="610"/>
      <c r="E29" s="59"/>
      <c r="F29" s="11"/>
    </row>
    <row r="30" spans="1:7" ht="14.4" hidden="1" customHeight="1" outlineLevel="2" x14ac:dyDescent="0.3">
      <c r="C30" s="609"/>
      <c r="D30" s="610"/>
      <c r="E30" s="59"/>
      <c r="F30" s="11"/>
    </row>
    <row r="31" spans="1:7" ht="14.4" hidden="1" customHeight="1" outlineLevel="2" x14ac:dyDescent="0.3">
      <c r="C31" s="609"/>
      <c r="D31" s="610"/>
      <c r="E31" s="59"/>
      <c r="F31" s="11"/>
    </row>
    <row r="32" spans="1:7" ht="14.4" hidden="1" customHeight="1" outlineLevel="2" x14ac:dyDescent="0.3">
      <c r="C32" s="609"/>
      <c r="D32" s="610"/>
      <c r="E32" s="59"/>
      <c r="F32" s="11"/>
    </row>
    <row r="33" spans="3:6" ht="14.4" hidden="1" customHeight="1" outlineLevel="2" x14ac:dyDescent="0.3">
      <c r="C33" s="609"/>
      <c r="D33" s="610"/>
      <c r="E33" s="59"/>
      <c r="F33" s="11"/>
    </row>
    <row r="34" spans="3:6" ht="14.4" hidden="1" customHeight="1" outlineLevel="2" x14ac:dyDescent="0.3">
      <c r="C34" s="609"/>
      <c r="D34" s="610"/>
      <c r="E34" s="59"/>
      <c r="F34" s="11"/>
    </row>
    <row r="35" spans="3:6" ht="14.4" hidden="1" customHeight="1" outlineLevel="2" x14ac:dyDescent="0.3">
      <c r="C35" s="609"/>
      <c r="D35" s="610"/>
      <c r="E35" s="59"/>
      <c r="F35" s="11"/>
    </row>
    <row r="36" spans="3:6" ht="14.4" hidden="1" customHeight="1" outlineLevel="2" x14ac:dyDescent="0.3">
      <c r="C36" s="609"/>
      <c r="D36" s="610"/>
      <c r="E36" s="59"/>
      <c r="F36" s="11"/>
    </row>
    <row r="37" spans="3:6" ht="14.4" hidden="1" customHeight="1" outlineLevel="2" x14ac:dyDescent="0.3">
      <c r="C37" s="609"/>
      <c r="D37" s="610"/>
      <c r="E37" s="59"/>
      <c r="F37" s="11"/>
    </row>
    <row r="38" spans="3:6" ht="14.4" hidden="1" customHeight="1" outlineLevel="2" x14ac:dyDescent="0.3">
      <c r="C38" s="609"/>
      <c r="D38" s="610"/>
      <c r="E38" s="59"/>
      <c r="F38" s="11"/>
    </row>
    <row r="39" spans="3:6" ht="14.4" hidden="1" customHeight="1" outlineLevel="2" x14ac:dyDescent="0.3">
      <c r="C39" s="609"/>
      <c r="D39" s="610"/>
      <c r="E39" s="59"/>
      <c r="F39" s="11"/>
    </row>
    <row r="40" spans="3:6" ht="14.4" hidden="1" customHeight="1" outlineLevel="2" x14ac:dyDescent="0.3">
      <c r="C40" s="609"/>
      <c r="D40" s="610"/>
      <c r="E40" s="59"/>
      <c r="F40" s="11"/>
    </row>
    <row r="41" spans="3:6" ht="14.4" hidden="1" customHeight="1" outlineLevel="2" x14ac:dyDescent="0.3">
      <c r="C41" s="609"/>
      <c r="D41" s="610"/>
      <c r="E41" s="59"/>
      <c r="F41" s="11"/>
    </row>
    <row r="42" spans="3:6" ht="14.4" hidden="1" customHeight="1" outlineLevel="2" x14ac:dyDescent="0.3">
      <c r="C42" s="609"/>
      <c r="D42" s="610"/>
      <c r="E42" s="59"/>
      <c r="F42" s="11"/>
    </row>
    <row r="43" spans="3:6" ht="14.4" hidden="1" customHeight="1" outlineLevel="2" x14ac:dyDescent="0.3">
      <c r="C43" s="609"/>
      <c r="D43" s="610"/>
      <c r="E43" s="59"/>
      <c r="F43" s="11"/>
    </row>
    <row r="44" spans="3:6" ht="14.4" hidden="1" customHeight="1" outlineLevel="2" x14ac:dyDescent="0.3">
      <c r="C44" s="609"/>
      <c r="D44" s="610"/>
      <c r="E44" s="59"/>
      <c r="F44" s="11"/>
    </row>
    <row r="45" spans="3:6" ht="14.4" hidden="1" customHeight="1" outlineLevel="2" x14ac:dyDescent="0.3">
      <c r="C45" s="609"/>
      <c r="D45" s="610"/>
      <c r="E45" s="59"/>
      <c r="F45" s="11"/>
    </row>
    <row r="46" spans="3:6" ht="14.4" hidden="1" customHeight="1" outlineLevel="2" x14ac:dyDescent="0.3">
      <c r="C46" s="609"/>
      <c r="D46" s="610"/>
      <c r="E46" s="59"/>
      <c r="F46" s="11"/>
    </row>
    <row r="47" spans="3:6" ht="14.4" hidden="1" customHeight="1" outlineLevel="2" x14ac:dyDescent="0.3">
      <c r="C47" s="609"/>
      <c r="D47" s="610"/>
      <c r="E47" s="59"/>
      <c r="F47" s="11"/>
    </row>
    <row r="48" spans="3:6" ht="14.4" hidden="1" customHeight="1" outlineLevel="2" x14ac:dyDescent="0.3">
      <c r="C48" s="609"/>
      <c r="D48" s="610"/>
      <c r="E48" s="59"/>
      <c r="F48" s="11"/>
    </row>
    <row r="49" spans="3:6" ht="14.4" hidden="1" customHeight="1" outlineLevel="2" x14ac:dyDescent="0.3">
      <c r="C49" s="609"/>
      <c r="D49" s="610"/>
      <c r="E49" s="59"/>
      <c r="F49" s="11"/>
    </row>
    <row r="50" spans="3:6" ht="14.4" hidden="1" customHeight="1" outlineLevel="2" x14ac:dyDescent="0.3">
      <c r="C50" s="609"/>
      <c r="D50" s="610"/>
      <c r="E50" s="59"/>
      <c r="F50" s="11"/>
    </row>
    <row r="51" spans="3:6" ht="14.4" hidden="1" customHeight="1" outlineLevel="2" x14ac:dyDescent="0.3">
      <c r="C51" s="609"/>
      <c r="D51" s="610"/>
      <c r="E51" s="59"/>
      <c r="F51" s="11"/>
    </row>
    <row r="52" spans="3:6" ht="14.4" hidden="1" customHeight="1" outlineLevel="2" x14ac:dyDescent="0.3">
      <c r="C52" s="609"/>
      <c r="D52" s="610"/>
      <c r="E52" s="59"/>
      <c r="F52" s="11"/>
    </row>
    <row r="53" spans="3:6" ht="14.4" hidden="1" customHeight="1" outlineLevel="2" x14ac:dyDescent="0.3">
      <c r="C53" s="609"/>
      <c r="D53" s="610"/>
      <c r="E53" s="59"/>
      <c r="F53" s="11"/>
    </row>
    <row r="54" spans="3:6" ht="14.4" hidden="1" customHeight="1" outlineLevel="2" x14ac:dyDescent="0.3">
      <c r="C54" s="609"/>
      <c r="D54" s="610"/>
      <c r="E54" s="59"/>
      <c r="F54" s="11"/>
    </row>
    <row r="55" spans="3:6" ht="14.4" hidden="1" customHeight="1" outlineLevel="2" x14ac:dyDescent="0.3">
      <c r="C55" s="609"/>
      <c r="D55" s="610"/>
      <c r="E55" s="59"/>
      <c r="F55" s="11"/>
    </row>
    <row r="56" spans="3:6" ht="14.4" hidden="1" customHeight="1" outlineLevel="2" x14ac:dyDescent="0.3">
      <c r="C56" s="609"/>
      <c r="D56" s="610"/>
      <c r="E56" s="59"/>
      <c r="F56" s="11"/>
    </row>
    <row r="57" spans="3:6" ht="14.4" hidden="1" customHeight="1" outlineLevel="2" x14ac:dyDescent="0.3">
      <c r="C57" s="609"/>
      <c r="D57" s="610"/>
      <c r="E57" s="59"/>
      <c r="F57" s="11"/>
    </row>
    <row r="58" spans="3:6" ht="14.4" hidden="1" customHeight="1" outlineLevel="2" x14ac:dyDescent="0.3">
      <c r="C58" s="609"/>
      <c r="D58" s="610"/>
      <c r="E58" s="59"/>
      <c r="F58" s="11"/>
    </row>
    <row r="59" spans="3:6" ht="14.4" hidden="1" customHeight="1" outlineLevel="2" x14ac:dyDescent="0.3">
      <c r="C59" s="609"/>
      <c r="D59" s="610"/>
      <c r="E59" s="59"/>
      <c r="F59" s="11"/>
    </row>
    <row r="60" spans="3:6" ht="14.4" hidden="1" customHeight="1" outlineLevel="2" x14ac:dyDescent="0.3">
      <c r="C60" s="609"/>
      <c r="D60" s="610"/>
      <c r="E60" s="59"/>
      <c r="F60" s="11"/>
    </row>
    <row r="61" spans="3:6" ht="14.4" hidden="1" customHeight="1" outlineLevel="2" x14ac:dyDescent="0.3">
      <c r="C61" s="609"/>
      <c r="D61" s="610"/>
      <c r="E61" s="59"/>
      <c r="F61" s="11"/>
    </row>
    <row r="62" spans="3:6" ht="14.4" hidden="1" customHeight="1" outlineLevel="2" x14ac:dyDescent="0.3">
      <c r="C62" s="609"/>
      <c r="D62" s="610"/>
      <c r="E62" s="59"/>
      <c r="F62" s="11"/>
    </row>
    <row r="63" spans="3:6" ht="14.4" hidden="1" customHeight="1" outlineLevel="2" x14ac:dyDescent="0.3">
      <c r="C63" s="609"/>
      <c r="D63" s="610"/>
      <c r="E63" s="59"/>
      <c r="F63" s="11"/>
    </row>
    <row r="64" spans="3:6" ht="14.4" hidden="1" customHeight="1" outlineLevel="2" x14ac:dyDescent="0.3">
      <c r="C64" s="609"/>
      <c r="D64" s="610"/>
      <c r="E64" s="59"/>
      <c r="F64" s="11"/>
    </row>
    <row r="65" spans="3:6" ht="14.4" hidden="1" customHeight="1" outlineLevel="2" x14ac:dyDescent="0.3">
      <c r="C65" s="609"/>
      <c r="D65" s="610"/>
      <c r="E65" s="59"/>
      <c r="F65" s="11"/>
    </row>
    <row r="66" spans="3:6" ht="14.4" hidden="1" customHeight="1" outlineLevel="2" x14ac:dyDescent="0.3">
      <c r="C66" s="609"/>
      <c r="D66" s="610"/>
      <c r="E66" s="59"/>
      <c r="F66" s="11"/>
    </row>
    <row r="67" spans="3:6" ht="14.4" hidden="1" customHeight="1" outlineLevel="2" x14ac:dyDescent="0.3">
      <c r="C67" s="609"/>
      <c r="D67" s="610"/>
      <c r="E67" s="59"/>
      <c r="F67" s="11"/>
    </row>
    <row r="68" spans="3:6" ht="14.4" hidden="1" customHeight="1" outlineLevel="2" x14ac:dyDescent="0.3">
      <c r="C68" s="609"/>
      <c r="D68" s="610"/>
      <c r="E68" s="59"/>
      <c r="F68" s="11"/>
    </row>
    <row r="69" spans="3:6" ht="14.4" hidden="1" customHeight="1" outlineLevel="2" x14ac:dyDescent="0.3">
      <c r="C69" s="609"/>
      <c r="D69" s="610"/>
      <c r="E69" s="59"/>
      <c r="F69" s="11"/>
    </row>
    <row r="70" spans="3:6" ht="14.4" hidden="1" customHeight="1" outlineLevel="2" x14ac:dyDescent="0.3">
      <c r="C70" s="609"/>
      <c r="D70" s="610"/>
      <c r="E70" s="59"/>
      <c r="F70" s="11"/>
    </row>
    <row r="71" spans="3:6" ht="14.4" hidden="1" customHeight="1" outlineLevel="2" x14ac:dyDescent="0.3">
      <c r="C71" s="609"/>
      <c r="D71" s="610"/>
      <c r="E71" s="59"/>
      <c r="F71" s="11"/>
    </row>
    <row r="72" spans="3:6" ht="14.4" hidden="1" customHeight="1" outlineLevel="2" x14ac:dyDescent="0.3">
      <c r="C72" s="609"/>
      <c r="D72" s="610"/>
      <c r="E72" s="59"/>
      <c r="F72" s="11"/>
    </row>
    <row r="73" spans="3:6" ht="14.4" hidden="1" customHeight="1" outlineLevel="2" x14ac:dyDescent="0.3">
      <c r="C73" s="609"/>
      <c r="D73" s="610"/>
      <c r="E73" s="59"/>
      <c r="F73" s="11"/>
    </row>
    <row r="74" spans="3:6" ht="14.4" hidden="1" customHeight="1" outlineLevel="2" x14ac:dyDescent="0.3">
      <c r="C74" s="609"/>
      <c r="D74" s="610"/>
      <c r="E74" s="59"/>
      <c r="F74" s="11"/>
    </row>
    <row r="75" spans="3:6" ht="14.4" hidden="1" customHeight="1" outlineLevel="2" x14ac:dyDescent="0.3">
      <c r="C75" s="609"/>
      <c r="D75" s="610"/>
      <c r="E75" s="59"/>
      <c r="F75" s="11"/>
    </row>
    <row r="76" spans="3:6" ht="14.4" hidden="1" customHeight="1" outlineLevel="2" x14ac:dyDescent="0.3">
      <c r="C76" s="609"/>
      <c r="D76" s="610"/>
      <c r="E76" s="59"/>
      <c r="F76" s="11"/>
    </row>
    <row r="77" spans="3:6" ht="14.4" hidden="1" customHeight="1" outlineLevel="2" x14ac:dyDescent="0.3">
      <c r="C77" s="609"/>
      <c r="D77" s="610"/>
      <c r="E77" s="59"/>
      <c r="F77" s="11"/>
    </row>
    <row r="78" spans="3:6" ht="14.4" hidden="1" customHeight="1" outlineLevel="2" x14ac:dyDescent="0.3">
      <c r="C78" s="609"/>
      <c r="D78" s="610"/>
      <c r="E78" s="59"/>
      <c r="F78" s="11"/>
    </row>
    <row r="79" spans="3:6" ht="14.4" hidden="1" customHeight="1" outlineLevel="2" x14ac:dyDescent="0.3">
      <c r="C79" s="609"/>
      <c r="D79" s="610"/>
      <c r="E79" s="59"/>
      <c r="F79" s="11"/>
    </row>
    <row r="80" spans="3:6" ht="14.4" hidden="1" customHeight="1" outlineLevel="2" x14ac:dyDescent="0.3">
      <c r="C80" s="609"/>
      <c r="D80" s="610"/>
      <c r="E80" s="59"/>
      <c r="F80" s="11"/>
    </row>
    <row r="81" spans="3:6" ht="14.4" hidden="1" customHeight="1" outlineLevel="2" x14ac:dyDescent="0.3">
      <c r="C81" s="609"/>
      <c r="D81" s="610"/>
      <c r="E81" s="59"/>
      <c r="F81" s="11"/>
    </row>
    <row r="82" spans="3:6" ht="14.4" hidden="1" customHeight="1" outlineLevel="2" x14ac:dyDescent="0.3">
      <c r="C82" s="609"/>
      <c r="D82" s="610"/>
      <c r="E82" s="59"/>
      <c r="F82" s="11"/>
    </row>
    <row r="83" spans="3:6" ht="14.4" hidden="1" customHeight="1" outlineLevel="2" x14ac:dyDescent="0.3">
      <c r="C83" s="609"/>
      <c r="D83" s="610"/>
      <c r="E83" s="59"/>
      <c r="F83" s="11"/>
    </row>
    <row r="84" spans="3:6" ht="14.4" hidden="1" customHeight="1" outlineLevel="2" x14ac:dyDescent="0.3">
      <c r="C84" s="609"/>
      <c r="D84" s="610"/>
      <c r="E84" s="59"/>
      <c r="F84" s="11"/>
    </row>
    <row r="85" spans="3:6" ht="14.4" hidden="1" customHeight="1" outlineLevel="2" x14ac:dyDescent="0.3">
      <c r="C85" s="609"/>
      <c r="D85" s="610"/>
      <c r="E85" s="59"/>
      <c r="F85" s="11"/>
    </row>
    <row r="86" spans="3:6" ht="14.4" hidden="1" customHeight="1" outlineLevel="2" x14ac:dyDescent="0.3">
      <c r="C86" s="609"/>
      <c r="D86" s="610"/>
      <c r="E86" s="59"/>
      <c r="F86" s="11"/>
    </row>
    <row r="87" spans="3:6" ht="14.4" hidden="1" customHeight="1" outlineLevel="2" x14ac:dyDescent="0.3">
      <c r="C87" s="609"/>
      <c r="D87" s="610"/>
      <c r="E87" s="59"/>
      <c r="F87" s="11"/>
    </row>
    <row r="88" spans="3:6" ht="14.4" hidden="1" customHeight="1" outlineLevel="2" x14ac:dyDescent="0.3">
      <c r="C88" s="609"/>
      <c r="D88" s="610"/>
      <c r="E88" s="59"/>
      <c r="F88" s="11"/>
    </row>
    <row r="89" spans="3:6" ht="14.4" hidden="1" customHeight="1" outlineLevel="2" x14ac:dyDescent="0.3">
      <c r="C89" s="609"/>
      <c r="D89" s="610"/>
      <c r="E89" s="59"/>
      <c r="F89" s="11"/>
    </row>
    <row r="90" spans="3:6" ht="14.4" hidden="1" customHeight="1" outlineLevel="2" x14ac:dyDescent="0.3">
      <c r="C90" s="609"/>
      <c r="D90" s="610"/>
      <c r="E90" s="59"/>
      <c r="F90" s="11"/>
    </row>
    <row r="91" spans="3:6" ht="14.4" hidden="1" customHeight="1" outlineLevel="2" x14ac:dyDescent="0.3">
      <c r="C91" s="609"/>
      <c r="D91" s="610"/>
      <c r="E91" s="59"/>
      <c r="F91" s="11"/>
    </row>
    <row r="92" spans="3:6" ht="14.4" hidden="1" customHeight="1" outlineLevel="2" x14ac:dyDescent="0.3">
      <c r="C92" s="609"/>
      <c r="D92" s="610"/>
      <c r="E92" s="59"/>
      <c r="F92" s="11"/>
    </row>
    <row r="93" spans="3:6" ht="14.4" hidden="1" customHeight="1" outlineLevel="2" x14ac:dyDescent="0.3">
      <c r="C93" s="609"/>
      <c r="D93" s="610"/>
      <c r="E93" s="59"/>
      <c r="F93" s="11"/>
    </row>
    <row r="94" spans="3:6" ht="14.4" hidden="1" customHeight="1" outlineLevel="2" x14ac:dyDescent="0.3">
      <c r="C94" s="609"/>
      <c r="D94" s="610"/>
      <c r="E94" s="59"/>
      <c r="F94" s="11"/>
    </row>
    <row r="95" spans="3:6" ht="14.4" hidden="1" customHeight="1" outlineLevel="2" x14ac:dyDescent="0.3">
      <c r="C95" s="609"/>
      <c r="D95" s="610"/>
      <c r="E95" s="59"/>
      <c r="F95" s="11"/>
    </row>
    <row r="96" spans="3:6" ht="14.4" hidden="1" customHeight="1" outlineLevel="2" x14ac:dyDescent="0.3">
      <c r="C96" s="609"/>
      <c r="D96" s="610"/>
      <c r="E96" s="59"/>
      <c r="F96" s="11"/>
    </row>
    <row r="97" spans="3:6" ht="14.4" hidden="1" customHeight="1" outlineLevel="2" x14ac:dyDescent="0.3">
      <c r="C97" s="609"/>
      <c r="D97" s="610"/>
      <c r="E97" s="59"/>
      <c r="F97" s="11"/>
    </row>
    <row r="98" spans="3:6" ht="14.4" hidden="1" customHeight="1" outlineLevel="2" x14ac:dyDescent="0.3">
      <c r="C98" s="609"/>
      <c r="D98" s="610"/>
      <c r="E98" s="59"/>
      <c r="F98" s="11"/>
    </row>
    <row r="99" spans="3:6" ht="14.4" hidden="1" customHeight="1" outlineLevel="2" x14ac:dyDescent="0.3">
      <c r="C99" s="609"/>
      <c r="D99" s="610"/>
      <c r="E99" s="59"/>
      <c r="F99" s="11"/>
    </row>
    <row r="100" spans="3:6" ht="14.4" hidden="1" customHeight="1" outlineLevel="2" x14ac:dyDescent="0.3">
      <c r="C100" s="609"/>
      <c r="D100" s="610"/>
      <c r="E100" s="59"/>
      <c r="F100" s="11"/>
    </row>
    <row r="101" spans="3:6" ht="14.4" hidden="1" customHeight="1" outlineLevel="2" x14ac:dyDescent="0.3">
      <c r="C101" s="609"/>
      <c r="D101" s="610"/>
      <c r="E101" s="59"/>
      <c r="F101" s="11"/>
    </row>
    <row r="102" spans="3:6" ht="14.4" hidden="1" customHeight="1" outlineLevel="2" x14ac:dyDescent="0.3">
      <c r="C102" s="609"/>
      <c r="D102" s="610"/>
      <c r="E102" s="59"/>
      <c r="F102" s="11"/>
    </row>
    <row r="103" spans="3:6" ht="14.4" hidden="1" customHeight="1" outlineLevel="2" x14ac:dyDescent="0.3">
      <c r="C103" s="609"/>
      <c r="D103" s="610"/>
      <c r="E103" s="59"/>
      <c r="F103" s="11"/>
    </row>
    <row r="104" spans="3:6" ht="14.4" hidden="1" customHeight="1" outlineLevel="2" x14ac:dyDescent="0.3">
      <c r="C104" s="609"/>
      <c r="D104" s="610"/>
      <c r="E104" s="59"/>
      <c r="F104" s="11"/>
    </row>
    <row r="105" spans="3:6" ht="14.4" hidden="1" customHeight="1" outlineLevel="2" x14ac:dyDescent="0.3">
      <c r="C105" s="609"/>
      <c r="D105" s="610"/>
      <c r="E105" s="59"/>
      <c r="F105" s="11"/>
    </row>
    <row r="106" spans="3:6" ht="14.4" hidden="1" customHeight="1" outlineLevel="2" x14ac:dyDescent="0.3">
      <c r="C106" s="609"/>
      <c r="D106" s="610"/>
      <c r="E106" s="59"/>
      <c r="F106" s="11"/>
    </row>
    <row r="107" spans="3:6" ht="14.4" hidden="1" customHeight="1" outlineLevel="2" x14ac:dyDescent="0.3">
      <c r="C107" s="609"/>
      <c r="D107" s="610"/>
      <c r="E107" s="59"/>
      <c r="F107" s="11"/>
    </row>
    <row r="108" spans="3:6" ht="14.4" hidden="1" customHeight="1" outlineLevel="2" x14ac:dyDescent="0.3">
      <c r="C108" s="609"/>
      <c r="D108" s="610"/>
      <c r="E108" s="59"/>
      <c r="F108" s="11"/>
    </row>
    <row r="109" spans="3:6" ht="14.4" hidden="1" customHeight="1" outlineLevel="2" x14ac:dyDescent="0.3">
      <c r="C109" s="609"/>
      <c r="D109" s="610"/>
      <c r="E109" s="59"/>
      <c r="F109" s="11"/>
    </row>
    <row r="110" spans="3:6" ht="14.4" hidden="1" customHeight="1" outlineLevel="2" x14ac:dyDescent="0.3">
      <c r="C110" s="609"/>
      <c r="D110" s="610"/>
      <c r="E110" s="59"/>
      <c r="F110" s="11"/>
    </row>
    <row r="111" spans="3:6" ht="14.4" hidden="1" customHeight="1" outlineLevel="2" x14ac:dyDescent="0.3">
      <c r="C111" s="609"/>
      <c r="D111" s="610"/>
      <c r="E111" s="59"/>
      <c r="F111" s="11"/>
    </row>
    <row r="112" spans="3:6" ht="14.4" hidden="1" customHeight="1" outlineLevel="2" x14ac:dyDescent="0.3">
      <c r="C112" s="609"/>
      <c r="D112" s="610"/>
      <c r="E112" s="59"/>
      <c r="F112" s="11"/>
    </row>
    <row r="113" spans="1:6" ht="14.4" hidden="1" customHeight="1" outlineLevel="2" x14ac:dyDescent="0.3">
      <c r="C113" s="609"/>
      <c r="D113" s="610"/>
      <c r="E113" s="59"/>
      <c r="F113" s="11"/>
    </row>
    <row r="114" spans="1:6" ht="14.4" hidden="1" customHeight="1" outlineLevel="2" x14ac:dyDescent="0.3">
      <c r="C114" s="609"/>
      <c r="D114" s="610"/>
      <c r="E114" s="59"/>
      <c r="F114" s="11"/>
    </row>
    <row r="115" spans="1:6" ht="14.4" hidden="1" customHeight="1" outlineLevel="2" x14ac:dyDescent="0.3">
      <c r="C115" s="609"/>
      <c r="D115" s="610"/>
      <c r="E115" s="59"/>
      <c r="F115" s="11"/>
    </row>
    <row r="116" spans="1:6" ht="14.4" hidden="1" customHeight="1" outlineLevel="2" x14ac:dyDescent="0.3">
      <c r="C116" s="609"/>
      <c r="D116" s="610"/>
      <c r="E116" s="59"/>
      <c r="F116" s="11"/>
    </row>
    <row r="117" spans="1:6" ht="14.4" hidden="1" customHeight="1" outlineLevel="2" x14ac:dyDescent="0.3">
      <c r="C117" s="609"/>
      <c r="D117" s="610"/>
      <c r="E117" s="59"/>
      <c r="F117" s="11"/>
    </row>
    <row r="118" spans="1:6" ht="14.4" hidden="1" customHeight="1" outlineLevel="2" x14ac:dyDescent="0.3">
      <c r="C118" s="609"/>
      <c r="D118" s="610"/>
      <c r="E118" s="59"/>
      <c r="F118" s="11"/>
    </row>
    <row r="119" spans="1:6" ht="14.4" customHeight="1" collapsed="1" thickBot="1" x14ac:dyDescent="0.35">
      <c r="A119" s="92"/>
      <c r="B119" s="92"/>
      <c r="C119" s="554" t="str">
        <f>template_label_link_to_previous_report_containing_disclosures_that_remain_unchanged</f>
        <v>Link to previous report containing disclosures that remain unchanged</v>
      </c>
      <c r="D119" s="555"/>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604"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 to - [Always to be reported]</v>
      </c>
      <c r="D121" s="605"/>
      <c r="E121" s="606"/>
      <c r="F121"/>
    </row>
    <row r="122" spans="1:6" x14ac:dyDescent="0.3">
      <c r="A122" s="442" t="s">
        <v>3730</v>
      </c>
      <c r="B122" s="466" t="s">
        <v>1</v>
      </c>
      <c r="C122" s="582" t="str">
        <f>template_label_basis_for_preparation</f>
        <v>Basis for preparation (Basic Module Only or Basic &amp; Comprehensive Module)</v>
      </c>
      <c r="D122" s="583"/>
      <c r="E122" s="60"/>
      <c r="F122" s="11" t="str">
        <f>IF(E122 = "", template_label_missing_value, template_label_ok)</f>
        <v>MISSING VALUE</v>
      </c>
    </row>
    <row r="123" spans="1:6" ht="14.4" customHeight="1" x14ac:dyDescent="0.3">
      <c r="A123" s="617" t="s">
        <v>3731</v>
      </c>
      <c r="B123" s="615" t="s">
        <v>1</v>
      </c>
      <c r="C123" s="611" t="str">
        <f>template_label_list_of_omitted_disclosures_deemed_to_be_classified_or_sensitive_information</f>
        <v>List of omitted disclosures deemed to be classified or sensitive information</v>
      </c>
      <c r="D123" s="612"/>
      <c r="E123" s="60"/>
      <c r="F123" s="11" t="str">
        <f>IF(E122 = "", "",
IF(AND(OR(E122 = "Option A (Basic Module only)", E122 = "Option B (Basic Module and Comprehensive Module)"), E123 = ""), template_label_missing_value,
IF(COUNTIF(E123:E223, E123) &gt; 1, template_label_value_inconsistency, template_label_ok)))</f>
        <v/>
      </c>
    </row>
    <row r="124" spans="1:6" ht="14.4" customHeight="1" x14ac:dyDescent="0.3">
      <c r="A124" s="618"/>
      <c r="B124" s="616"/>
      <c r="C124" s="613"/>
      <c r="D124" s="614"/>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18"/>
      <c r="B125" s="616"/>
      <c r="C125" s="613"/>
      <c r="D125" s="614"/>
      <c r="E125" s="61"/>
      <c r="F125" s="11" t="str">
        <f t="shared" si="1"/>
        <v/>
      </c>
    </row>
    <row r="126" spans="1:6" ht="14.4" hidden="1" customHeight="1" outlineLevel="1" x14ac:dyDescent="0.3">
      <c r="A126" s="618"/>
      <c r="B126" s="616"/>
      <c r="C126" s="613"/>
      <c r="D126" s="614"/>
      <c r="E126" s="61"/>
      <c r="F126" s="11" t="str">
        <f t="shared" si="1"/>
        <v/>
      </c>
    </row>
    <row r="127" spans="1:6" ht="14.4" hidden="1" customHeight="1" outlineLevel="1" x14ac:dyDescent="0.3">
      <c r="A127" s="618"/>
      <c r="B127" s="616"/>
      <c r="C127" s="613"/>
      <c r="D127" s="614"/>
      <c r="E127" s="61"/>
      <c r="F127" s="11" t="str">
        <f t="shared" si="1"/>
        <v/>
      </c>
    </row>
    <row r="128" spans="1:6" ht="14.4" hidden="1" customHeight="1" outlineLevel="1" x14ac:dyDescent="0.3">
      <c r="A128" s="618"/>
      <c r="B128" s="616"/>
      <c r="C128" s="613"/>
      <c r="D128" s="614"/>
      <c r="E128" s="61"/>
      <c r="F128" s="11" t="str">
        <f t="shared" si="1"/>
        <v/>
      </c>
    </row>
    <row r="129" spans="1:6" ht="14.4" hidden="1" customHeight="1" outlineLevel="1" x14ac:dyDescent="0.3">
      <c r="A129" s="618"/>
      <c r="B129" s="616"/>
      <c r="C129" s="613"/>
      <c r="D129" s="614"/>
      <c r="E129" s="61"/>
      <c r="F129" s="11" t="str">
        <f t="shared" si="1"/>
        <v/>
      </c>
    </row>
    <row r="130" spans="1:6" ht="14.4" hidden="1" customHeight="1" outlineLevel="1" x14ac:dyDescent="0.3">
      <c r="A130" s="618"/>
      <c r="B130" s="616"/>
      <c r="C130" s="613"/>
      <c r="D130" s="614"/>
      <c r="E130" s="61"/>
      <c r="F130" s="11" t="str">
        <f t="shared" si="1"/>
        <v/>
      </c>
    </row>
    <row r="131" spans="1:6" ht="14.4" hidden="1" customHeight="1" outlineLevel="1" x14ac:dyDescent="0.3">
      <c r="A131" s="618"/>
      <c r="B131" s="616"/>
      <c r="C131" s="613"/>
      <c r="D131" s="614"/>
      <c r="E131" s="61"/>
      <c r="F131" s="11" t="str">
        <f t="shared" si="1"/>
        <v/>
      </c>
    </row>
    <row r="132" spans="1:6" ht="14.4" hidden="1" customHeight="1" outlineLevel="1" x14ac:dyDescent="0.3">
      <c r="A132" s="618"/>
      <c r="B132" s="616"/>
      <c r="C132" s="613"/>
      <c r="D132" s="614"/>
      <c r="E132" s="61"/>
      <c r="F132" s="11" t="str">
        <f t="shared" si="1"/>
        <v/>
      </c>
    </row>
    <row r="133" spans="1:6" ht="14.4" hidden="1" customHeight="1" outlineLevel="1" x14ac:dyDescent="0.3">
      <c r="A133" s="618"/>
      <c r="B133" s="616"/>
      <c r="C133" s="613"/>
      <c r="D133" s="614"/>
      <c r="E133" s="61"/>
      <c r="F133" s="11" t="str">
        <f t="shared" si="1"/>
        <v/>
      </c>
    </row>
    <row r="134" spans="1:6" ht="14.4" hidden="1" customHeight="1" outlineLevel="1" x14ac:dyDescent="0.3">
      <c r="A134" s="618"/>
      <c r="B134" s="616"/>
      <c r="C134" s="613"/>
      <c r="D134" s="614"/>
      <c r="E134" s="61"/>
      <c r="F134" s="11" t="str">
        <f t="shared" si="1"/>
        <v/>
      </c>
    </row>
    <row r="135" spans="1:6" ht="14.4" hidden="1" customHeight="1" outlineLevel="1" x14ac:dyDescent="0.3">
      <c r="A135" s="618"/>
      <c r="B135" s="616"/>
      <c r="C135" s="613"/>
      <c r="D135" s="614"/>
      <c r="E135" s="61"/>
      <c r="F135" s="11" t="str">
        <f t="shared" si="1"/>
        <v/>
      </c>
    </row>
    <row r="136" spans="1:6" ht="14.4" hidden="1" customHeight="1" outlineLevel="1" x14ac:dyDescent="0.3">
      <c r="A136" s="618"/>
      <c r="B136" s="616"/>
      <c r="C136" s="613"/>
      <c r="D136" s="614"/>
      <c r="E136" s="61"/>
      <c r="F136" s="11" t="str">
        <f t="shared" si="1"/>
        <v/>
      </c>
    </row>
    <row r="137" spans="1:6" ht="14.4" hidden="1" customHeight="1" outlineLevel="1" x14ac:dyDescent="0.3">
      <c r="A137" s="618"/>
      <c r="B137" s="616"/>
      <c r="C137" s="613"/>
      <c r="D137" s="614"/>
      <c r="E137" s="61"/>
      <c r="F137" s="11" t="str">
        <f t="shared" si="1"/>
        <v/>
      </c>
    </row>
    <row r="138" spans="1:6" ht="14.4" hidden="1" customHeight="1" outlineLevel="1" x14ac:dyDescent="0.3">
      <c r="A138" s="618"/>
      <c r="B138" s="616"/>
      <c r="C138" s="613"/>
      <c r="D138" s="614"/>
      <c r="E138" s="61"/>
      <c r="F138" s="11" t="str">
        <f t="shared" si="1"/>
        <v/>
      </c>
    </row>
    <row r="139" spans="1:6" ht="14.4" hidden="1" customHeight="1" outlineLevel="1" x14ac:dyDescent="0.3">
      <c r="A139" s="618"/>
      <c r="B139" s="616"/>
      <c r="C139" s="613"/>
      <c r="D139" s="614"/>
      <c r="E139" s="61"/>
      <c r="F139" s="11" t="str">
        <f t="shared" si="1"/>
        <v/>
      </c>
    </row>
    <row r="140" spans="1:6" ht="14.4" hidden="1" customHeight="1" outlineLevel="1" x14ac:dyDescent="0.3">
      <c r="A140" s="618"/>
      <c r="B140" s="616"/>
      <c r="C140" s="613"/>
      <c r="D140" s="614"/>
      <c r="E140" s="61"/>
      <c r="F140" s="11" t="str">
        <f t="shared" si="1"/>
        <v/>
      </c>
    </row>
    <row r="141" spans="1:6" ht="14.4" hidden="1" customHeight="1" outlineLevel="1" x14ac:dyDescent="0.3">
      <c r="A141" s="618"/>
      <c r="B141" s="616"/>
      <c r="C141" s="613"/>
      <c r="D141" s="614"/>
      <c r="E141" s="61"/>
      <c r="F141" s="11" t="str">
        <f t="shared" si="1"/>
        <v/>
      </c>
    </row>
    <row r="142" spans="1:6" ht="14.4" hidden="1" customHeight="1" outlineLevel="1" x14ac:dyDescent="0.3">
      <c r="A142" s="618"/>
      <c r="B142" s="616"/>
      <c r="C142" s="613"/>
      <c r="D142" s="614"/>
      <c r="E142" s="61"/>
      <c r="F142" s="11" t="str">
        <f t="shared" si="1"/>
        <v/>
      </c>
    </row>
    <row r="143" spans="1:6" ht="14.4" hidden="1" customHeight="1" outlineLevel="1" x14ac:dyDescent="0.3">
      <c r="A143" s="618"/>
      <c r="B143" s="616"/>
      <c r="C143" s="613"/>
      <c r="D143" s="614"/>
      <c r="E143" s="61"/>
      <c r="F143" s="11" t="str">
        <f t="shared" si="1"/>
        <v/>
      </c>
    </row>
    <row r="144" spans="1:6" ht="14.4" hidden="1" customHeight="1" outlineLevel="1" x14ac:dyDescent="0.3">
      <c r="A144" s="618"/>
      <c r="B144" s="616"/>
      <c r="C144" s="613"/>
      <c r="D144" s="614"/>
      <c r="E144" s="61"/>
      <c r="F144" s="11" t="str">
        <f t="shared" si="1"/>
        <v/>
      </c>
    </row>
    <row r="145" spans="1:6" ht="14.4" hidden="1" customHeight="1" outlineLevel="1" x14ac:dyDescent="0.3">
      <c r="A145" s="618"/>
      <c r="B145" s="616"/>
      <c r="C145" s="613"/>
      <c r="D145" s="614"/>
      <c r="E145" s="61"/>
      <c r="F145" s="11" t="str">
        <f t="shared" si="1"/>
        <v/>
      </c>
    </row>
    <row r="146" spans="1:6" ht="14.4" hidden="1" customHeight="1" outlineLevel="1" x14ac:dyDescent="0.3">
      <c r="A146" s="618"/>
      <c r="B146" s="616"/>
      <c r="C146" s="613"/>
      <c r="D146" s="614"/>
      <c r="E146" s="61"/>
      <c r="F146" s="11" t="str">
        <f t="shared" si="1"/>
        <v/>
      </c>
    </row>
    <row r="147" spans="1:6" ht="14.4" hidden="1" customHeight="1" outlineLevel="1" x14ac:dyDescent="0.3">
      <c r="A147" s="618"/>
      <c r="B147" s="616"/>
      <c r="C147" s="613"/>
      <c r="D147" s="614"/>
      <c r="E147" s="61"/>
      <c r="F147" s="11" t="str">
        <f t="shared" si="1"/>
        <v/>
      </c>
    </row>
    <row r="148" spans="1:6" ht="14.4" hidden="1" customHeight="1" outlineLevel="1" x14ac:dyDescent="0.3">
      <c r="A148" s="618"/>
      <c r="B148" s="616"/>
      <c r="C148" s="613"/>
      <c r="D148" s="614"/>
      <c r="E148" s="61"/>
      <c r="F148" s="11" t="str">
        <f t="shared" si="1"/>
        <v/>
      </c>
    </row>
    <row r="149" spans="1:6" ht="14.4" hidden="1" customHeight="1" outlineLevel="1" x14ac:dyDescent="0.3">
      <c r="A149" s="618"/>
      <c r="B149" s="616"/>
      <c r="C149" s="613"/>
      <c r="D149" s="614"/>
      <c r="E149" s="61"/>
      <c r="F149" s="11" t="str">
        <f t="shared" si="1"/>
        <v/>
      </c>
    </row>
    <row r="150" spans="1:6" ht="14.4" hidden="1" customHeight="1" outlineLevel="1" x14ac:dyDescent="0.3">
      <c r="A150" s="618"/>
      <c r="B150" s="616"/>
      <c r="C150" s="613"/>
      <c r="D150" s="614"/>
      <c r="E150" s="61"/>
      <c r="F150" s="11" t="str">
        <f t="shared" si="1"/>
        <v/>
      </c>
    </row>
    <row r="151" spans="1:6" ht="14.4" hidden="1" customHeight="1" outlineLevel="1" x14ac:dyDescent="0.3">
      <c r="A151" s="618"/>
      <c r="B151" s="616"/>
      <c r="C151" s="613"/>
      <c r="D151" s="614"/>
      <c r="E151" s="61"/>
      <c r="F151" s="11" t="str">
        <f t="shared" si="1"/>
        <v/>
      </c>
    </row>
    <row r="152" spans="1:6" ht="14.4" hidden="1" customHeight="1" outlineLevel="1" x14ac:dyDescent="0.3">
      <c r="A152" s="618"/>
      <c r="B152" s="616"/>
      <c r="C152" s="613"/>
      <c r="D152" s="614"/>
      <c r="E152" s="61"/>
      <c r="F152" s="11" t="str">
        <f t="shared" si="1"/>
        <v/>
      </c>
    </row>
    <row r="153" spans="1:6" ht="14.4" hidden="1" customHeight="1" outlineLevel="1" x14ac:dyDescent="0.3">
      <c r="A153" s="618"/>
      <c r="B153" s="616"/>
      <c r="C153" s="613"/>
      <c r="D153" s="614"/>
      <c r="E153" s="61"/>
      <c r="F153" s="11" t="str">
        <f t="shared" si="1"/>
        <v/>
      </c>
    </row>
    <row r="154" spans="1:6" ht="14.4" hidden="1" customHeight="1" outlineLevel="1" x14ac:dyDescent="0.3">
      <c r="A154" s="618"/>
      <c r="B154" s="616"/>
      <c r="C154" s="613"/>
      <c r="D154" s="614"/>
      <c r="E154" s="61"/>
      <c r="F154" s="11" t="str">
        <f t="shared" si="1"/>
        <v/>
      </c>
    </row>
    <row r="155" spans="1:6" ht="14.4" hidden="1" customHeight="1" outlineLevel="1" x14ac:dyDescent="0.3">
      <c r="A155" s="618"/>
      <c r="B155" s="616"/>
      <c r="C155" s="613"/>
      <c r="D155" s="614"/>
      <c r="E155" s="61"/>
      <c r="F155" s="11" t="str">
        <f t="shared" si="1"/>
        <v/>
      </c>
    </row>
    <row r="156" spans="1:6" ht="14.4" hidden="1" customHeight="1" outlineLevel="1" x14ac:dyDescent="0.3">
      <c r="A156" s="618"/>
      <c r="B156" s="616"/>
      <c r="C156" s="613"/>
      <c r="D156" s="614"/>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618"/>
      <c r="B157" s="616"/>
      <c r="C157" s="613"/>
      <c r="D157" s="614"/>
      <c r="E157" s="61"/>
      <c r="F157" s="11" t="str">
        <f t="shared" si="2"/>
        <v/>
      </c>
    </row>
    <row r="158" spans="1:6" ht="14.4" hidden="1" customHeight="1" outlineLevel="1" x14ac:dyDescent="0.3">
      <c r="A158" s="618"/>
      <c r="B158" s="616"/>
      <c r="C158" s="613"/>
      <c r="D158" s="614"/>
      <c r="E158" s="61"/>
      <c r="F158" s="11" t="str">
        <f t="shared" si="2"/>
        <v/>
      </c>
    </row>
    <row r="159" spans="1:6" ht="14.4" hidden="1" customHeight="1" outlineLevel="1" x14ac:dyDescent="0.3">
      <c r="A159" s="618"/>
      <c r="B159" s="616"/>
      <c r="C159" s="613"/>
      <c r="D159" s="614"/>
      <c r="E159" s="61"/>
      <c r="F159" s="11" t="str">
        <f t="shared" si="2"/>
        <v/>
      </c>
    </row>
    <row r="160" spans="1:6" ht="14.4" hidden="1" customHeight="1" outlineLevel="1" x14ac:dyDescent="0.3">
      <c r="A160" s="618"/>
      <c r="B160" s="616"/>
      <c r="C160" s="613"/>
      <c r="D160" s="614"/>
      <c r="E160" s="61"/>
      <c r="F160" s="11" t="str">
        <f t="shared" si="2"/>
        <v/>
      </c>
    </row>
    <row r="161" spans="1:6" ht="14.4" hidden="1" customHeight="1" outlineLevel="1" x14ac:dyDescent="0.3">
      <c r="A161" s="618"/>
      <c r="B161" s="616"/>
      <c r="C161" s="613"/>
      <c r="D161" s="614"/>
      <c r="E161" s="61"/>
      <c r="F161" s="11" t="str">
        <f t="shared" si="2"/>
        <v/>
      </c>
    </row>
    <row r="162" spans="1:6" ht="14.4" hidden="1" customHeight="1" outlineLevel="1" x14ac:dyDescent="0.3">
      <c r="A162" s="618"/>
      <c r="B162" s="616"/>
      <c r="C162" s="613"/>
      <c r="D162" s="614"/>
      <c r="E162" s="61"/>
      <c r="F162" s="11" t="str">
        <f t="shared" si="2"/>
        <v/>
      </c>
    </row>
    <row r="163" spans="1:6" ht="14.4" hidden="1" customHeight="1" outlineLevel="1" x14ac:dyDescent="0.3">
      <c r="A163" s="618"/>
      <c r="B163" s="616"/>
      <c r="C163" s="613"/>
      <c r="D163" s="614"/>
      <c r="E163" s="61"/>
      <c r="F163" s="11" t="str">
        <f t="shared" si="2"/>
        <v/>
      </c>
    </row>
    <row r="164" spans="1:6" ht="14.4" hidden="1" customHeight="1" outlineLevel="1" x14ac:dyDescent="0.3">
      <c r="A164" s="618"/>
      <c r="B164" s="616"/>
      <c r="C164" s="613"/>
      <c r="D164" s="614"/>
      <c r="E164" s="61"/>
      <c r="F164" s="11" t="str">
        <f t="shared" si="2"/>
        <v/>
      </c>
    </row>
    <row r="165" spans="1:6" ht="14.4" hidden="1" customHeight="1" outlineLevel="1" x14ac:dyDescent="0.3">
      <c r="A165" s="618"/>
      <c r="B165" s="616"/>
      <c r="C165" s="613"/>
      <c r="D165" s="614"/>
      <c r="E165" s="61"/>
      <c r="F165" s="11" t="str">
        <f t="shared" si="2"/>
        <v/>
      </c>
    </row>
    <row r="166" spans="1:6" ht="14.4" hidden="1" customHeight="1" outlineLevel="1" x14ac:dyDescent="0.3">
      <c r="A166" s="618"/>
      <c r="B166" s="616"/>
      <c r="C166" s="613"/>
      <c r="D166" s="614"/>
      <c r="E166" s="61"/>
      <c r="F166" s="11" t="str">
        <f t="shared" si="2"/>
        <v/>
      </c>
    </row>
    <row r="167" spans="1:6" ht="14.4" hidden="1" customHeight="1" outlineLevel="1" x14ac:dyDescent="0.3">
      <c r="A167" s="618"/>
      <c r="B167" s="616"/>
      <c r="C167" s="613"/>
      <c r="D167" s="614"/>
      <c r="E167" s="61"/>
      <c r="F167" s="11" t="str">
        <f t="shared" si="2"/>
        <v/>
      </c>
    </row>
    <row r="168" spans="1:6" ht="14.4" hidden="1" customHeight="1" outlineLevel="1" x14ac:dyDescent="0.3">
      <c r="A168" s="618"/>
      <c r="B168" s="616"/>
      <c r="C168" s="613"/>
      <c r="D168" s="614"/>
      <c r="E168" s="61"/>
      <c r="F168" s="11" t="str">
        <f t="shared" si="2"/>
        <v/>
      </c>
    </row>
    <row r="169" spans="1:6" ht="14.4" hidden="1" customHeight="1" outlineLevel="1" x14ac:dyDescent="0.3">
      <c r="A169" s="618"/>
      <c r="B169" s="616"/>
      <c r="C169" s="613"/>
      <c r="D169" s="614"/>
      <c r="E169" s="61"/>
      <c r="F169" s="11" t="str">
        <f t="shared" si="2"/>
        <v/>
      </c>
    </row>
    <row r="170" spans="1:6" ht="14.4" hidden="1" customHeight="1" outlineLevel="1" x14ac:dyDescent="0.3">
      <c r="A170" s="618"/>
      <c r="B170" s="616"/>
      <c r="C170" s="613"/>
      <c r="D170" s="614"/>
      <c r="E170" s="61"/>
      <c r="F170" s="11" t="str">
        <f t="shared" si="2"/>
        <v/>
      </c>
    </row>
    <row r="171" spans="1:6" ht="14.4" hidden="1" customHeight="1" outlineLevel="1" x14ac:dyDescent="0.3">
      <c r="A171" s="618"/>
      <c r="B171" s="616"/>
      <c r="C171" s="613"/>
      <c r="D171" s="614"/>
      <c r="E171" s="61"/>
      <c r="F171" s="11" t="str">
        <f t="shared" si="2"/>
        <v/>
      </c>
    </row>
    <row r="172" spans="1:6" ht="14.4" hidden="1" customHeight="1" outlineLevel="1" x14ac:dyDescent="0.3">
      <c r="A172" s="618"/>
      <c r="B172" s="616"/>
      <c r="C172" s="613"/>
      <c r="D172" s="614"/>
      <c r="E172" s="61"/>
      <c r="F172" s="11" t="str">
        <f t="shared" si="2"/>
        <v/>
      </c>
    </row>
    <row r="173" spans="1:6" ht="14.4" hidden="1" customHeight="1" outlineLevel="1" x14ac:dyDescent="0.3">
      <c r="A173" s="618"/>
      <c r="B173" s="616"/>
      <c r="C173" s="613"/>
      <c r="D173" s="614"/>
      <c r="E173" s="61"/>
      <c r="F173" s="11" t="str">
        <f t="shared" si="2"/>
        <v/>
      </c>
    </row>
    <row r="174" spans="1:6" ht="14.4" hidden="1" customHeight="1" outlineLevel="1" x14ac:dyDescent="0.3">
      <c r="A174" s="618"/>
      <c r="B174" s="616"/>
      <c r="C174" s="613"/>
      <c r="D174" s="614"/>
      <c r="E174" s="61"/>
      <c r="F174" s="11" t="str">
        <f t="shared" si="2"/>
        <v/>
      </c>
    </row>
    <row r="175" spans="1:6" ht="14.4" hidden="1" customHeight="1" outlineLevel="1" x14ac:dyDescent="0.3">
      <c r="A175" s="618"/>
      <c r="B175" s="616"/>
      <c r="C175" s="613"/>
      <c r="D175" s="614"/>
      <c r="E175" s="61"/>
      <c r="F175" s="11" t="str">
        <f t="shared" si="2"/>
        <v/>
      </c>
    </row>
    <row r="176" spans="1:6" ht="14.4" hidden="1" customHeight="1" outlineLevel="1" x14ac:dyDescent="0.3">
      <c r="A176" s="618"/>
      <c r="B176" s="616"/>
      <c r="C176" s="613"/>
      <c r="D176" s="614"/>
      <c r="E176" s="61"/>
      <c r="F176" s="11" t="str">
        <f t="shared" si="2"/>
        <v/>
      </c>
    </row>
    <row r="177" spans="1:6" ht="14.4" hidden="1" customHeight="1" outlineLevel="1" x14ac:dyDescent="0.3">
      <c r="A177" s="618"/>
      <c r="B177" s="616"/>
      <c r="C177" s="613"/>
      <c r="D177" s="614"/>
      <c r="E177" s="61"/>
      <c r="F177" s="11" t="str">
        <f t="shared" si="2"/>
        <v/>
      </c>
    </row>
    <row r="178" spans="1:6" ht="14.4" hidden="1" customHeight="1" outlineLevel="1" x14ac:dyDescent="0.3">
      <c r="A178" s="618"/>
      <c r="B178" s="616"/>
      <c r="C178" s="613"/>
      <c r="D178" s="614"/>
      <c r="E178" s="61"/>
      <c r="F178" s="11" t="str">
        <f t="shared" si="2"/>
        <v/>
      </c>
    </row>
    <row r="179" spans="1:6" ht="14.4" hidden="1" customHeight="1" outlineLevel="1" x14ac:dyDescent="0.3">
      <c r="A179" s="618"/>
      <c r="B179" s="616"/>
      <c r="C179" s="613"/>
      <c r="D179" s="614"/>
      <c r="E179" s="61"/>
      <c r="F179" s="11" t="str">
        <f t="shared" si="2"/>
        <v/>
      </c>
    </row>
    <row r="180" spans="1:6" ht="14.4" hidden="1" customHeight="1" outlineLevel="1" x14ac:dyDescent="0.3">
      <c r="A180" s="618"/>
      <c r="B180" s="616"/>
      <c r="C180" s="613"/>
      <c r="D180" s="614"/>
      <c r="E180" s="61"/>
      <c r="F180" s="11" t="str">
        <f t="shared" si="2"/>
        <v/>
      </c>
    </row>
    <row r="181" spans="1:6" ht="14.4" hidden="1" customHeight="1" outlineLevel="1" x14ac:dyDescent="0.3">
      <c r="A181" s="618"/>
      <c r="B181" s="616"/>
      <c r="C181" s="613"/>
      <c r="D181" s="614"/>
      <c r="E181" s="61"/>
      <c r="F181" s="11" t="str">
        <f t="shared" si="2"/>
        <v/>
      </c>
    </row>
    <row r="182" spans="1:6" ht="14.4" hidden="1" customHeight="1" outlineLevel="1" x14ac:dyDescent="0.3">
      <c r="A182" s="618"/>
      <c r="B182" s="616"/>
      <c r="C182" s="613"/>
      <c r="D182" s="614"/>
      <c r="E182" s="61"/>
      <c r="F182" s="11" t="str">
        <f t="shared" si="2"/>
        <v/>
      </c>
    </row>
    <row r="183" spans="1:6" ht="14.4" hidden="1" customHeight="1" outlineLevel="1" x14ac:dyDescent="0.3">
      <c r="A183" s="618"/>
      <c r="B183" s="616"/>
      <c r="C183" s="613"/>
      <c r="D183" s="614"/>
      <c r="E183" s="61"/>
      <c r="F183" s="11" t="str">
        <f t="shared" si="2"/>
        <v/>
      </c>
    </row>
    <row r="184" spans="1:6" ht="14.4" hidden="1" customHeight="1" outlineLevel="1" x14ac:dyDescent="0.3">
      <c r="A184" s="618"/>
      <c r="B184" s="616"/>
      <c r="C184" s="613"/>
      <c r="D184" s="614"/>
      <c r="E184" s="61"/>
      <c r="F184" s="11" t="str">
        <f t="shared" si="2"/>
        <v/>
      </c>
    </row>
    <row r="185" spans="1:6" ht="14.4" hidden="1" customHeight="1" outlineLevel="1" x14ac:dyDescent="0.3">
      <c r="A185" s="618"/>
      <c r="B185" s="616"/>
      <c r="C185" s="613"/>
      <c r="D185" s="614"/>
      <c r="E185" s="61"/>
      <c r="F185" s="11" t="str">
        <f t="shared" si="2"/>
        <v/>
      </c>
    </row>
    <row r="186" spans="1:6" ht="14.4" hidden="1" customHeight="1" outlineLevel="1" x14ac:dyDescent="0.3">
      <c r="A186" s="618"/>
      <c r="B186" s="616"/>
      <c r="C186" s="613"/>
      <c r="D186" s="614"/>
      <c r="E186" s="61"/>
      <c r="F186" s="11" t="str">
        <f t="shared" si="2"/>
        <v/>
      </c>
    </row>
    <row r="187" spans="1:6" ht="14.4" hidden="1" customHeight="1" outlineLevel="1" x14ac:dyDescent="0.3">
      <c r="A187" s="618"/>
      <c r="B187" s="616"/>
      <c r="C187" s="613"/>
      <c r="D187" s="614"/>
      <c r="E187" s="61"/>
      <c r="F187" s="11" t="str">
        <f t="shared" si="2"/>
        <v/>
      </c>
    </row>
    <row r="188" spans="1:6" ht="14.4" hidden="1" customHeight="1" outlineLevel="1" x14ac:dyDescent="0.3">
      <c r="A188" s="618"/>
      <c r="B188" s="616"/>
      <c r="C188" s="613"/>
      <c r="D188" s="614"/>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618"/>
      <c r="B189" s="616"/>
      <c r="C189" s="613"/>
      <c r="D189" s="614"/>
      <c r="E189" s="61"/>
      <c r="F189" s="11" t="str">
        <f t="shared" si="3"/>
        <v/>
      </c>
    </row>
    <row r="190" spans="1:6" ht="14.4" hidden="1" customHeight="1" outlineLevel="1" x14ac:dyDescent="0.3">
      <c r="A190" s="618"/>
      <c r="B190" s="616"/>
      <c r="C190" s="613"/>
      <c r="D190" s="614"/>
      <c r="E190" s="61"/>
      <c r="F190" s="11" t="str">
        <f t="shared" si="3"/>
        <v/>
      </c>
    </row>
    <row r="191" spans="1:6" ht="14.4" hidden="1" customHeight="1" outlineLevel="1" x14ac:dyDescent="0.3">
      <c r="A191" s="618"/>
      <c r="B191" s="616"/>
      <c r="C191" s="613"/>
      <c r="D191" s="614"/>
      <c r="E191" s="61"/>
      <c r="F191" s="11" t="str">
        <f t="shared" si="3"/>
        <v/>
      </c>
    </row>
    <row r="192" spans="1:6" ht="14.4" hidden="1" customHeight="1" outlineLevel="1" x14ac:dyDescent="0.3">
      <c r="A192" s="618"/>
      <c r="B192" s="616"/>
      <c r="C192" s="613"/>
      <c r="D192" s="614"/>
      <c r="E192" s="61"/>
      <c r="F192" s="11" t="str">
        <f t="shared" si="3"/>
        <v/>
      </c>
    </row>
    <row r="193" spans="1:6" ht="14.4" hidden="1" customHeight="1" outlineLevel="1" x14ac:dyDescent="0.3">
      <c r="A193" s="618"/>
      <c r="B193" s="616"/>
      <c r="C193" s="613"/>
      <c r="D193" s="614"/>
      <c r="E193" s="61"/>
      <c r="F193" s="11" t="str">
        <f t="shared" si="3"/>
        <v/>
      </c>
    </row>
    <row r="194" spans="1:6" ht="14.4" hidden="1" customHeight="1" outlineLevel="1" x14ac:dyDescent="0.3">
      <c r="A194" s="618"/>
      <c r="B194" s="616"/>
      <c r="C194" s="613"/>
      <c r="D194" s="614"/>
      <c r="E194" s="61"/>
      <c r="F194" s="11" t="str">
        <f t="shared" si="3"/>
        <v/>
      </c>
    </row>
    <row r="195" spans="1:6" ht="14.4" hidden="1" customHeight="1" outlineLevel="1" x14ac:dyDescent="0.3">
      <c r="A195" s="618"/>
      <c r="B195" s="616"/>
      <c r="C195" s="613"/>
      <c r="D195" s="614"/>
      <c r="E195" s="61"/>
      <c r="F195" s="11" t="str">
        <f t="shared" si="3"/>
        <v/>
      </c>
    </row>
    <row r="196" spans="1:6" ht="14.4" hidden="1" customHeight="1" outlineLevel="1" x14ac:dyDescent="0.3">
      <c r="A196" s="618"/>
      <c r="B196" s="616"/>
      <c r="C196" s="613"/>
      <c r="D196" s="614"/>
      <c r="E196" s="61"/>
      <c r="F196" s="11" t="str">
        <f t="shared" si="3"/>
        <v/>
      </c>
    </row>
    <row r="197" spans="1:6" ht="14.4" hidden="1" customHeight="1" outlineLevel="1" x14ac:dyDescent="0.3">
      <c r="A197" s="618"/>
      <c r="B197" s="616"/>
      <c r="C197" s="613"/>
      <c r="D197" s="614"/>
      <c r="E197" s="61"/>
      <c r="F197" s="11" t="str">
        <f t="shared" si="3"/>
        <v/>
      </c>
    </row>
    <row r="198" spans="1:6" ht="14.4" hidden="1" customHeight="1" outlineLevel="1" x14ac:dyDescent="0.3">
      <c r="A198" s="618"/>
      <c r="B198" s="616"/>
      <c r="C198" s="613"/>
      <c r="D198" s="614"/>
      <c r="E198" s="61"/>
      <c r="F198" s="11" t="str">
        <f t="shared" si="3"/>
        <v/>
      </c>
    </row>
    <row r="199" spans="1:6" ht="14.4" hidden="1" customHeight="1" outlineLevel="1" x14ac:dyDescent="0.3">
      <c r="A199" s="618"/>
      <c r="B199" s="616"/>
      <c r="C199" s="613"/>
      <c r="D199" s="614"/>
      <c r="E199" s="61"/>
      <c r="F199" s="11" t="str">
        <f t="shared" si="3"/>
        <v/>
      </c>
    </row>
    <row r="200" spans="1:6" ht="14.4" hidden="1" customHeight="1" outlineLevel="1" x14ac:dyDescent="0.3">
      <c r="A200" s="618"/>
      <c r="B200" s="616"/>
      <c r="C200" s="613"/>
      <c r="D200" s="614"/>
      <c r="E200" s="61"/>
      <c r="F200" s="11" t="str">
        <f t="shared" si="3"/>
        <v/>
      </c>
    </row>
    <row r="201" spans="1:6" ht="14.4" hidden="1" customHeight="1" outlineLevel="1" x14ac:dyDescent="0.3">
      <c r="A201" s="618"/>
      <c r="B201" s="616"/>
      <c r="C201" s="613"/>
      <c r="D201" s="614"/>
      <c r="E201" s="61"/>
      <c r="F201" s="11" t="str">
        <f t="shared" si="3"/>
        <v/>
      </c>
    </row>
    <row r="202" spans="1:6" ht="14.4" hidden="1" customHeight="1" outlineLevel="1" x14ac:dyDescent="0.3">
      <c r="A202" s="618"/>
      <c r="B202" s="616"/>
      <c r="C202" s="613"/>
      <c r="D202" s="614"/>
      <c r="E202" s="61"/>
      <c r="F202" s="11" t="str">
        <f t="shared" si="3"/>
        <v/>
      </c>
    </row>
    <row r="203" spans="1:6" ht="14.4" hidden="1" customHeight="1" outlineLevel="1" x14ac:dyDescent="0.3">
      <c r="A203" s="618"/>
      <c r="B203" s="616"/>
      <c r="C203" s="613"/>
      <c r="D203" s="614"/>
      <c r="E203" s="61"/>
      <c r="F203" s="11" t="str">
        <f t="shared" si="3"/>
        <v/>
      </c>
    </row>
    <row r="204" spans="1:6" ht="14.4" hidden="1" customHeight="1" outlineLevel="1" x14ac:dyDescent="0.3">
      <c r="A204" s="618"/>
      <c r="B204" s="616"/>
      <c r="C204" s="613"/>
      <c r="D204" s="614"/>
      <c r="E204" s="61"/>
      <c r="F204" s="11" t="str">
        <f t="shared" si="3"/>
        <v/>
      </c>
    </row>
    <row r="205" spans="1:6" ht="14.4" hidden="1" customHeight="1" outlineLevel="1" x14ac:dyDescent="0.3">
      <c r="A205" s="618"/>
      <c r="B205" s="616"/>
      <c r="C205" s="613"/>
      <c r="D205" s="614"/>
      <c r="E205" s="61"/>
      <c r="F205" s="11" t="str">
        <f t="shared" si="3"/>
        <v/>
      </c>
    </row>
    <row r="206" spans="1:6" ht="14.4" hidden="1" customHeight="1" outlineLevel="1" x14ac:dyDescent="0.3">
      <c r="A206" s="618"/>
      <c r="B206" s="616"/>
      <c r="C206" s="613"/>
      <c r="D206" s="614"/>
      <c r="E206" s="61"/>
      <c r="F206" s="11" t="str">
        <f t="shared" si="3"/>
        <v/>
      </c>
    </row>
    <row r="207" spans="1:6" ht="14.4" hidden="1" customHeight="1" outlineLevel="1" x14ac:dyDescent="0.3">
      <c r="A207" s="618"/>
      <c r="B207" s="616"/>
      <c r="C207" s="613"/>
      <c r="D207" s="614"/>
      <c r="E207" s="61"/>
      <c r="F207" s="11" t="str">
        <f t="shared" si="3"/>
        <v/>
      </c>
    </row>
    <row r="208" spans="1:6" ht="14.4" hidden="1" customHeight="1" outlineLevel="1" x14ac:dyDescent="0.3">
      <c r="A208" s="618"/>
      <c r="B208" s="616"/>
      <c r="C208" s="613"/>
      <c r="D208" s="614"/>
      <c r="E208" s="61"/>
      <c r="F208" s="11" t="str">
        <f t="shared" si="3"/>
        <v/>
      </c>
    </row>
    <row r="209" spans="1:7" ht="14.4" hidden="1" customHeight="1" outlineLevel="1" x14ac:dyDescent="0.3">
      <c r="A209" s="618"/>
      <c r="B209" s="616"/>
      <c r="C209" s="613"/>
      <c r="D209" s="614"/>
      <c r="E209" s="61"/>
      <c r="F209" s="11" t="str">
        <f t="shared" si="3"/>
        <v/>
      </c>
    </row>
    <row r="210" spans="1:7" ht="14.4" hidden="1" customHeight="1" outlineLevel="1" x14ac:dyDescent="0.3">
      <c r="A210" s="618"/>
      <c r="B210" s="616"/>
      <c r="C210" s="613"/>
      <c r="D210" s="614"/>
      <c r="E210" s="61"/>
      <c r="F210" s="11" t="str">
        <f t="shared" si="3"/>
        <v/>
      </c>
    </row>
    <row r="211" spans="1:7" ht="14.4" hidden="1" customHeight="1" outlineLevel="1" x14ac:dyDescent="0.3">
      <c r="A211" s="618"/>
      <c r="B211" s="616"/>
      <c r="C211" s="613"/>
      <c r="D211" s="614"/>
      <c r="E211" s="61"/>
      <c r="F211" s="11" t="str">
        <f t="shared" si="3"/>
        <v/>
      </c>
    </row>
    <row r="212" spans="1:7" ht="14.4" hidden="1" customHeight="1" outlineLevel="1" x14ac:dyDescent="0.3">
      <c r="A212" s="618"/>
      <c r="B212" s="616"/>
      <c r="C212" s="613"/>
      <c r="D212" s="614"/>
      <c r="E212" s="61"/>
      <c r="F212" s="11" t="str">
        <f t="shared" si="3"/>
        <v/>
      </c>
    </row>
    <row r="213" spans="1:7" ht="14.4" hidden="1" customHeight="1" outlineLevel="1" x14ac:dyDescent="0.3">
      <c r="A213" s="618"/>
      <c r="B213" s="616"/>
      <c r="C213" s="613"/>
      <c r="D213" s="614"/>
      <c r="E213" s="61"/>
      <c r="F213" s="11" t="str">
        <f t="shared" si="3"/>
        <v/>
      </c>
    </row>
    <row r="214" spans="1:7" ht="14.4" hidden="1" customHeight="1" outlineLevel="1" x14ac:dyDescent="0.3">
      <c r="A214" s="618"/>
      <c r="B214" s="616"/>
      <c r="C214" s="613"/>
      <c r="D214" s="614"/>
      <c r="E214" s="61"/>
      <c r="F214" s="11" t="str">
        <f t="shared" si="3"/>
        <v/>
      </c>
    </row>
    <row r="215" spans="1:7" ht="14.4" hidden="1" customHeight="1" outlineLevel="1" x14ac:dyDescent="0.3">
      <c r="A215" s="618"/>
      <c r="B215" s="616"/>
      <c r="C215" s="613"/>
      <c r="D215" s="614"/>
      <c r="E215" s="61"/>
      <c r="F215" s="11" t="str">
        <f t="shared" si="3"/>
        <v/>
      </c>
    </row>
    <row r="216" spans="1:7" ht="14.4" hidden="1" customHeight="1" outlineLevel="1" x14ac:dyDescent="0.3">
      <c r="A216" s="618"/>
      <c r="B216" s="616"/>
      <c r="C216" s="613"/>
      <c r="D216" s="614"/>
      <c r="E216" s="61"/>
      <c r="F216" s="11" t="str">
        <f t="shared" si="3"/>
        <v/>
      </c>
    </row>
    <row r="217" spans="1:7" ht="14.4" hidden="1" customHeight="1" outlineLevel="1" x14ac:dyDescent="0.3">
      <c r="A217" s="618"/>
      <c r="B217" s="616"/>
      <c r="C217" s="613"/>
      <c r="D217" s="614"/>
      <c r="E217" s="61"/>
      <c r="F217" s="11" t="str">
        <f t="shared" si="3"/>
        <v/>
      </c>
    </row>
    <row r="218" spans="1:7" ht="14.4" hidden="1" customHeight="1" outlineLevel="1" x14ac:dyDescent="0.3">
      <c r="A218" s="618"/>
      <c r="B218" s="616"/>
      <c r="C218" s="613"/>
      <c r="D218" s="614"/>
      <c r="E218" s="61"/>
      <c r="F218" s="11" t="str">
        <f t="shared" si="3"/>
        <v/>
      </c>
    </row>
    <row r="219" spans="1:7" ht="14.4" hidden="1" customHeight="1" outlineLevel="1" x14ac:dyDescent="0.3">
      <c r="A219" s="618"/>
      <c r="B219" s="616"/>
      <c r="C219" s="613"/>
      <c r="D219" s="614"/>
      <c r="E219" s="61"/>
      <c r="F219" s="11" t="str">
        <f t="shared" si="3"/>
        <v/>
      </c>
    </row>
    <row r="220" spans="1:7" ht="14.4" hidden="1" customHeight="1" outlineLevel="1" x14ac:dyDescent="0.3">
      <c r="A220" s="618"/>
      <c r="B220" s="616"/>
      <c r="C220" s="613"/>
      <c r="D220" s="614"/>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618"/>
      <c r="B221" s="616"/>
      <c r="C221" s="613"/>
      <c r="D221" s="614"/>
      <c r="E221" s="61"/>
      <c r="F221" s="11" t="str">
        <f t="shared" si="4"/>
        <v/>
      </c>
    </row>
    <row r="222" spans="1:7" ht="14.4" hidden="1" customHeight="1" outlineLevel="1" x14ac:dyDescent="0.3">
      <c r="A222" s="618"/>
      <c r="B222" s="616"/>
      <c r="C222" s="613"/>
      <c r="D222" s="614"/>
      <c r="E222" s="61"/>
      <c r="F222" s="11" t="str">
        <f t="shared" si="4"/>
        <v/>
      </c>
    </row>
    <row r="223" spans="1:7" collapsed="1" x14ac:dyDescent="0.3">
      <c r="A223" s="441" t="s">
        <v>3732</v>
      </c>
      <c r="B223" s="249" t="s">
        <v>1</v>
      </c>
      <c r="C223" s="582" t="str">
        <f>template_label_basis_for_reporting</f>
        <v>Basis for reporting (consolidated or individual basis)</v>
      </c>
      <c r="D223" s="583"/>
      <c r="E223" s="60"/>
      <c r="F223" s="11" t="str">
        <f>IF(AND(OR(E122 = "Option A (Basic Module only)", E122 = "Option B (Basic Module and Comprehensive Module)"), E223 = ""),
    template_label_missing_value,
    IF(E122 = "", "", template_label_ok))</f>
        <v/>
      </c>
    </row>
    <row r="224" spans="1:7" x14ac:dyDescent="0.3">
      <c r="A224" s="578" t="s">
        <v>3947</v>
      </c>
      <c r="B224" s="593">
        <v>4</v>
      </c>
      <c r="C224" s="582" t="str">
        <f>template_label_undertakings_legal_form</f>
        <v>Undertakings legal form</v>
      </c>
      <c r="D224" s="583"/>
      <c r="E224" s="60"/>
      <c r="F224" s="11" t="str">
        <f>IF(AND(OR(E122 = "Option A (Basic Module only)", E122 = "Option B (Basic Module and Comprehensive Module)"), E224 = ""),
    template_label_missing_value,
    IF(E122 = "", "", template_label_ok))</f>
        <v/>
      </c>
      <c r="G224" t="str">
        <f>template_label_other_warning</f>
        <v>ℹ️ When "other" is chosen as undertaking legal form please fill the row below</v>
      </c>
    </row>
    <row r="225" spans="1:7" x14ac:dyDescent="0.3">
      <c r="A225" s="592"/>
      <c r="B225" s="593"/>
      <c r="C225" s="594" t="str">
        <f>template_label_other_undertakings_legal_form_specification</f>
        <v>Other undertaking's legal form specification</v>
      </c>
      <c r="D225" s="595"/>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578" t="s">
        <v>3733</v>
      </c>
      <c r="B226" s="580" t="s">
        <v>5638</v>
      </c>
      <c r="C226" s="588" t="str">
        <f>template_label_nace_sector_classification_code</f>
        <v>NACE sector classification code(s)</v>
      </c>
      <c r="D226" s="589"/>
      <c r="E226" s="60"/>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t="str">
        <f>template_label_NACE_warning</f>
        <v>ℹ️  Please select a NACE code rather than a category else an ERROR message will appear.</v>
      </c>
    </row>
    <row r="227" spans="1:7" ht="14.4" customHeight="1" x14ac:dyDescent="0.3">
      <c r="A227" s="579"/>
      <c r="B227" s="581"/>
      <c r="C227" s="590"/>
      <c r="D227" s="591"/>
      <c r="E227" s="60"/>
      <c r="F227" s="11" t="str">
        <f t="shared" ref="F227:F258" si="5">IF(COUNTIF(enum_ListNACECategories, E227) &gt; 0, template_label_error,
IF(E227 = "", "",
IF(COUNTIF($E$226:$E$325, E227) &gt; 1, template_label_value_inconsistency, template_label_ok)))</f>
        <v/>
      </c>
    </row>
    <row r="228" spans="1:7" ht="14.4" customHeight="1" x14ac:dyDescent="0.3">
      <c r="A228" s="579"/>
      <c r="B228" s="581"/>
      <c r="C228" s="590"/>
      <c r="D228" s="591"/>
      <c r="E228" s="60"/>
      <c r="F228" s="11" t="str">
        <f t="shared" si="5"/>
        <v/>
      </c>
    </row>
    <row r="229" spans="1:7" ht="14.4" hidden="1" customHeight="1" outlineLevel="2" x14ac:dyDescent="0.3">
      <c r="A229" s="579"/>
      <c r="B229" s="581"/>
      <c r="C229" s="590"/>
      <c r="D229" s="591"/>
      <c r="E229" s="60"/>
      <c r="F229" s="11" t="str">
        <f t="shared" si="5"/>
        <v/>
      </c>
    </row>
    <row r="230" spans="1:7" ht="14.4" hidden="1" customHeight="1" outlineLevel="2" x14ac:dyDescent="0.3">
      <c r="A230" s="579"/>
      <c r="B230" s="581"/>
      <c r="C230" s="590"/>
      <c r="D230" s="591"/>
      <c r="E230" s="60"/>
      <c r="F230" s="11" t="str">
        <f t="shared" si="5"/>
        <v/>
      </c>
    </row>
    <row r="231" spans="1:7" ht="14.4" hidden="1" customHeight="1" outlineLevel="2" x14ac:dyDescent="0.3">
      <c r="A231" s="579"/>
      <c r="B231" s="581"/>
      <c r="C231" s="590"/>
      <c r="D231" s="591"/>
      <c r="E231" s="60"/>
      <c r="F231" s="11" t="str">
        <f t="shared" si="5"/>
        <v/>
      </c>
    </row>
    <row r="232" spans="1:7" ht="14.4" hidden="1" customHeight="1" outlineLevel="2" x14ac:dyDescent="0.3">
      <c r="A232" s="579"/>
      <c r="B232" s="581"/>
      <c r="C232" s="590"/>
      <c r="D232" s="591"/>
      <c r="E232" s="60"/>
      <c r="F232" s="11" t="str">
        <f t="shared" si="5"/>
        <v/>
      </c>
    </row>
    <row r="233" spans="1:7" ht="14.4" hidden="1" customHeight="1" outlineLevel="2" x14ac:dyDescent="0.3">
      <c r="A233" s="579"/>
      <c r="B233" s="581"/>
      <c r="C233" s="590"/>
      <c r="D233" s="591"/>
      <c r="E233" s="60"/>
      <c r="F233" s="11" t="str">
        <f t="shared" si="5"/>
        <v/>
      </c>
    </row>
    <row r="234" spans="1:7" ht="14.4" hidden="1" customHeight="1" outlineLevel="2" x14ac:dyDescent="0.3">
      <c r="A234" s="579"/>
      <c r="B234" s="581"/>
      <c r="C234" s="590"/>
      <c r="D234" s="591"/>
      <c r="E234" s="60"/>
      <c r="F234" s="11" t="str">
        <f t="shared" si="5"/>
        <v/>
      </c>
    </row>
    <row r="235" spans="1:7" ht="14.4" hidden="1" customHeight="1" outlineLevel="2" x14ac:dyDescent="0.3">
      <c r="A235" s="579"/>
      <c r="B235" s="581"/>
      <c r="C235" s="590"/>
      <c r="D235" s="591"/>
      <c r="E235" s="60"/>
      <c r="F235" s="11" t="str">
        <f t="shared" si="5"/>
        <v/>
      </c>
    </row>
    <row r="236" spans="1:7" ht="14.4" hidden="1" customHeight="1" outlineLevel="2" x14ac:dyDescent="0.3">
      <c r="A236" s="579"/>
      <c r="B236" s="581"/>
      <c r="C236" s="590"/>
      <c r="D236" s="591"/>
      <c r="E236" s="60"/>
      <c r="F236" s="11" t="str">
        <f t="shared" si="5"/>
        <v/>
      </c>
    </row>
    <row r="237" spans="1:7" ht="14.4" hidden="1" customHeight="1" outlineLevel="2" x14ac:dyDescent="0.3">
      <c r="A237" s="579"/>
      <c r="B237" s="581"/>
      <c r="C237" s="590"/>
      <c r="D237" s="591"/>
      <c r="E237" s="60"/>
      <c r="F237" s="11" t="str">
        <f t="shared" si="5"/>
        <v/>
      </c>
    </row>
    <row r="238" spans="1:7" ht="14.4" hidden="1" customHeight="1" outlineLevel="2" x14ac:dyDescent="0.3">
      <c r="A238" s="579"/>
      <c r="B238" s="581"/>
      <c r="C238" s="590"/>
      <c r="D238" s="591"/>
      <c r="E238" s="60"/>
      <c r="F238" s="11" t="str">
        <f t="shared" si="5"/>
        <v/>
      </c>
    </row>
    <row r="239" spans="1:7" ht="14.4" hidden="1" customHeight="1" outlineLevel="2" x14ac:dyDescent="0.3">
      <c r="A239" s="579"/>
      <c r="B239" s="581"/>
      <c r="C239" s="590"/>
      <c r="D239" s="591"/>
      <c r="E239" s="60"/>
      <c r="F239" s="11" t="str">
        <f t="shared" si="5"/>
        <v/>
      </c>
    </row>
    <row r="240" spans="1:7" ht="14.4" hidden="1" customHeight="1" outlineLevel="2" x14ac:dyDescent="0.3">
      <c r="A240" s="579"/>
      <c r="B240" s="581"/>
      <c r="C240" s="590"/>
      <c r="D240" s="591"/>
      <c r="E240" s="60"/>
      <c r="F240" s="11" t="str">
        <f t="shared" si="5"/>
        <v/>
      </c>
    </row>
    <row r="241" spans="1:6" ht="14.4" hidden="1" customHeight="1" outlineLevel="2" x14ac:dyDescent="0.3">
      <c r="A241" s="579"/>
      <c r="B241" s="581"/>
      <c r="C241" s="590"/>
      <c r="D241" s="591"/>
      <c r="E241" s="60"/>
      <c r="F241" s="11" t="str">
        <f t="shared" si="5"/>
        <v/>
      </c>
    </row>
    <row r="242" spans="1:6" ht="14.4" hidden="1" customHeight="1" outlineLevel="2" x14ac:dyDescent="0.3">
      <c r="A242" s="579"/>
      <c r="B242" s="581"/>
      <c r="C242" s="590"/>
      <c r="D242" s="591"/>
      <c r="E242" s="60"/>
      <c r="F242" s="11" t="str">
        <f t="shared" si="5"/>
        <v/>
      </c>
    </row>
    <row r="243" spans="1:6" ht="14.4" hidden="1" customHeight="1" outlineLevel="2" x14ac:dyDescent="0.3">
      <c r="A243" s="579"/>
      <c r="B243" s="581"/>
      <c r="C243" s="590"/>
      <c r="D243" s="591"/>
      <c r="E243" s="60"/>
      <c r="F243" s="11" t="str">
        <f t="shared" si="5"/>
        <v/>
      </c>
    </row>
    <row r="244" spans="1:6" ht="14.4" hidden="1" customHeight="1" outlineLevel="2" x14ac:dyDescent="0.3">
      <c r="A244" s="579"/>
      <c r="B244" s="581"/>
      <c r="C244" s="590"/>
      <c r="D244" s="591"/>
      <c r="E244" s="60"/>
      <c r="F244" s="11" t="str">
        <f t="shared" si="5"/>
        <v/>
      </c>
    </row>
    <row r="245" spans="1:6" ht="14.4" hidden="1" customHeight="1" outlineLevel="2" x14ac:dyDescent="0.3">
      <c r="A245" s="579"/>
      <c r="B245" s="581"/>
      <c r="C245" s="590"/>
      <c r="D245" s="591"/>
      <c r="E245" s="60"/>
      <c r="F245" s="11" t="str">
        <f t="shared" si="5"/>
        <v/>
      </c>
    </row>
    <row r="246" spans="1:6" ht="14.4" hidden="1" customHeight="1" outlineLevel="2" x14ac:dyDescent="0.3">
      <c r="A246" s="579"/>
      <c r="B246" s="581"/>
      <c r="C246" s="590"/>
      <c r="D246" s="591"/>
      <c r="E246" s="60"/>
      <c r="F246" s="11" t="str">
        <f t="shared" si="5"/>
        <v/>
      </c>
    </row>
    <row r="247" spans="1:6" ht="14.4" hidden="1" customHeight="1" outlineLevel="2" x14ac:dyDescent="0.3">
      <c r="A247" s="579"/>
      <c r="B247" s="581"/>
      <c r="C247" s="590"/>
      <c r="D247" s="591"/>
      <c r="E247" s="60"/>
      <c r="F247" s="11" t="str">
        <f t="shared" si="5"/>
        <v/>
      </c>
    </row>
    <row r="248" spans="1:6" ht="14.4" hidden="1" customHeight="1" outlineLevel="2" x14ac:dyDescent="0.3">
      <c r="A248" s="579"/>
      <c r="B248" s="581"/>
      <c r="C248" s="590"/>
      <c r="D248" s="591"/>
      <c r="E248" s="60"/>
      <c r="F248" s="11" t="str">
        <f t="shared" si="5"/>
        <v/>
      </c>
    </row>
    <row r="249" spans="1:6" ht="14.4" hidden="1" customHeight="1" outlineLevel="2" x14ac:dyDescent="0.3">
      <c r="A249" s="579"/>
      <c r="B249" s="581"/>
      <c r="C249" s="590"/>
      <c r="D249" s="591"/>
      <c r="E249" s="60"/>
      <c r="F249" s="11" t="str">
        <f t="shared" si="5"/>
        <v/>
      </c>
    </row>
    <row r="250" spans="1:6" ht="14.4" hidden="1" customHeight="1" outlineLevel="2" x14ac:dyDescent="0.3">
      <c r="A250" s="579"/>
      <c r="B250" s="581"/>
      <c r="C250" s="590"/>
      <c r="D250" s="591"/>
      <c r="E250" s="60"/>
      <c r="F250" s="11" t="str">
        <f t="shared" si="5"/>
        <v/>
      </c>
    </row>
    <row r="251" spans="1:6" ht="14.4" hidden="1" customHeight="1" outlineLevel="2" x14ac:dyDescent="0.3">
      <c r="A251" s="579"/>
      <c r="B251" s="581"/>
      <c r="C251" s="590"/>
      <c r="D251" s="591"/>
      <c r="E251" s="60"/>
      <c r="F251" s="11" t="str">
        <f t="shared" si="5"/>
        <v/>
      </c>
    </row>
    <row r="252" spans="1:6" ht="14.4" hidden="1" customHeight="1" outlineLevel="2" x14ac:dyDescent="0.3">
      <c r="A252" s="579"/>
      <c r="B252" s="581"/>
      <c r="C252" s="590"/>
      <c r="D252" s="591"/>
      <c r="E252" s="60"/>
      <c r="F252" s="11" t="str">
        <f t="shared" si="5"/>
        <v/>
      </c>
    </row>
    <row r="253" spans="1:6" ht="14.4" hidden="1" customHeight="1" outlineLevel="2" x14ac:dyDescent="0.3">
      <c r="A253" s="579"/>
      <c r="B253" s="581"/>
      <c r="C253" s="590"/>
      <c r="D253" s="591"/>
      <c r="E253" s="60"/>
      <c r="F253" s="11" t="str">
        <f t="shared" si="5"/>
        <v/>
      </c>
    </row>
    <row r="254" spans="1:6" ht="14.4" hidden="1" customHeight="1" outlineLevel="2" x14ac:dyDescent="0.3">
      <c r="A254" s="579"/>
      <c r="B254" s="581"/>
      <c r="C254" s="590"/>
      <c r="D254" s="591"/>
      <c r="E254" s="60"/>
      <c r="F254" s="11" t="str">
        <f t="shared" si="5"/>
        <v/>
      </c>
    </row>
    <row r="255" spans="1:6" ht="14.4" hidden="1" customHeight="1" outlineLevel="2" x14ac:dyDescent="0.3">
      <c r="A255" s="579"/>
      <c r="B255" s="581"/>
      <c r="C255" s="590"/>
      <c r="D255" s="591"/>
      <c r="E255" s="60"/>
      <c r="F255" s="11" t="str">
        <f t="shared" si="5"/>
        <v/>
      </c>
    </row>
    <row r="256" spans="1:6" ht="14.4" hidden="1" customHeight="1" outlineLevel="2" x14ac:dyDescent="0.3">
      <c r="A256" s="579"/>
      <c r="B256" s="581"/>
      <c r="C256" s="590"/>
      <c r="D256" s="591"/>
      <c r="E256" s="60"/>
      <c r="F256" s="11" t="str">
        <f t="shared" si="5"/>
        <v/>
      </c>
    </row>
    <row r="257" spans="1:6" ht="14.4" hidden="1" customHeight="1" outlineLevel="2" x14ac:dyDescent="0.3">
      <c r="A257" s="579"/>
      <c r="B257" s="581"/>
      <c r="C257" s="590"/>
      <c r="D257" s="591"/>
      <c r="E257" s="60"/>
      <c r="F257" s="11" t="str">
        <f t="shared" si="5"/>
        <v/>
      </c>
    </row>
    <row r="258" spans="1:6" ht="14.4" hidden="1" customHeight="1" outlineLevel="2" x14ac:dyDescent="0.3">
      <c r="A258" s="579"/>
      <c r="B258" s="581"/>
      <c r="C258" s="590"/>
      <c r="D258" s="591"/>
      <c r="E258" s="60"/>
      <c r="F258" s="11" t="str">
        <f t="shared" si="5"/>
        <v/>
      </c>
    </row>
    <row r="259" spans="1:6" ht="14.4" hidden="1" customHeight="1" outlineLevel="2" x14ac:dyDescent="0.3">
      <c r="A259" s="579"/>
      <c r="B259" s="581"/>
      <c r="C259" s="590"/>
      <c r="D259" s="591"/>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579"/>
      <c r="B260" s="581"/>
      <c r="C260" s="590"/>
      <c r="D260" s="591"/>
      <c r="E260" s="60"/>
      <c r="F260" s="11" t="str">
        <f t="shared" si="6"/>
        <v/>
      </c>
    </row>
    <row r="261" spans="1:6" ht="14.4" hidden="1" customHeight="1" outlineLevel="2" x14ac:dyDescent="0.3">
      <c r="A261" s="579"/>
      <c r="B261" s="581"/>
      <c r="C261" s="590"/>
      <c r="D261" s="591"/>
      <c r="E261" s="60"/>
      <c r="F261" s="11" t="str">
        <f t="shared" si="6"/>
        <v/>
      </c>
    </row>
    <row r="262" spans="1:6" ht="14.4" hidden="1" customHeight="1" outlineLevel="2" x14ac:dyDescent="0.3">
      <c r="A262" s="579"/>
      <c r="B262" s="581"/>
      <c r="C262" s="590"/>
      <c r="D262" s="591"/>
      <c r="E262" s="60"/>
      <c r="F262" s="11" t="str">
        <f t="shared" si="6"/>
        <v/>
      </c>
    </row>
    <row r="263" spans="1:6" ht="14.4" hidden="1" customHeight="1" outlineLevel="2" x14ac:dyDescent="0.3">
      <c r="A263" s="579"/>
      <c r="B263" s="581"/>
      <c r="C263" s="590"/>
      <c r="D263" s="591"/>
      <c r="E263" s="60"/>
      <c r="F263" s="11" t="str">
        <f t="shared" si="6"/>
        <v/>
      </c>
    </row>
    <row r="264" spans="1:6" ht="14.4" hidden="1" customHeight="1" outlineLevel="2" x14ac:dyDescent="0.3">
      <c r="A264" s="579"/>
      <c r="B264" s="581"/>
      <c r="C264" s="590"/>
      <c r="D264" s="591"/>
      <c r="E264" s="60"/>
      <c r="F264" s="11" t="str">
        <f t="shared" si="6"/>
        <v/>
      </c>
    </row>
    <row r="265" spans="1:6" ht="14.4" hidden="1" customHeight="1" outlineLevel="2" x14ac:dyDescent="0.3">
      <c r="A265" s="579"/>
      <c r="B265" s="581"/>
      <c r="C265" s="590"/>
      <c r="D265" s="591"/>
      <c r="E265" s="60"/>
      <c r="F265" s="11" t="str">
        <f t="shared" si="6"/>
        <v/>
      </c>
    </row>
    <row r="266" spans="1:6" ht="14.4" hidden="1" customHeight="1" outlineLevel="2" x14ac:dyDescent="0.3">
      <c r="A266" s="579"/>
      <c r="B266" s="581"/>
      <c r="C266" s="590"/>
      <c r="D266" s="591"/>
      <c r="E266" s="60"/>
      <c r="F266" s="11" t="str">
        <f t="shared" si="6"/>
        <v/>
      </c>
    </row>
    <row r="267" spans="1:6" ht="14.4" hidden="1" customHeight="1" outlineLevel="2" x14ac:dyDescent="0.3">
      <c r="A267" s="579"/>
      <c r="B267" s="581"/>
      <c r="C267" s="590"/>
      <c r="D267" s="591"/>
      <c r="E267" s="60"/>
      <c r="F267" s="11" t="str">
        <f t="shared" si="6"/>
        <v/>
      </c>
    </row>
    <row r="268" spans="1:6" ht="14.4" hidden="1" customHeight="1" outlineLevel="2" x14ac:dyDescent="0.3">
      <c r="A268" s="579"/>
      <c r="B268" s="581"/>
      <c r="C268" s="590"/>
      <c r="D268" s="591"/>
      <c r="E268" s="60"/>
      <c r="F268" s="11" t="str">
        <f t="shared" si="6"/>
        <v/>
      </c>
    </row>
    <row r="269" spans="1:6" ht="14.4" hidden="1" customHeight="1" outlineLevel="2" x14ac:dyDescent="0.3">
      <c r="A269" s="579"/>
      <c r="B269" s="581"/>
      <c r="C269" s="590"/>
      <c r="D269" s="591"/>
      <c r="E269" s="60"/>
      <c r="F269" s="11" t="str">
        <f t="shared" si="6"/>
        <v/>
      </c>
    </row>
    <row r="270" spans="1:6" ht="14.4" hidden="1" customHeight="1" outlineLevel="2" x14ac:dyDescent="0.3">
      <c r="A270" s="579"/>
      <c r="B270" s="581"/>
      <c r="C270" s="590"/>
      <c r="D270" s="591"/>
      <c r="E270" s="60"/>
      <c r="F270" s="11" t="str">
        <f t="shared" si="6"/>
        <v/>
      </c>
    </row>
    <row r="271" spans="1:6" ht="14.4" hidden="1" customHeight="1" outlineLevel="2" x14ac:dyDescent="0.3">
      <c r="A271" s="579"/>
      <c r="B271" s="581"/>
      <c r="C271" s="590"/>
      <c r="D271" s="591"/>
      <c r="E271" s="60"/>
      <c r="F271" s="11" t="str">
        <f t="shared" si="6"/>
        <v/>
      </c>
    </row>
    <row r="272" spans="1:6" ht="14.4" hidden="1" customHeight="1" outlineLevel="2" x14ac:dyDescent="0.3">
      <c r="A272" s="579"/>
      <c r="B272" s="581"/>
      <c r="C272" s="590"/>
      <c r="D272" s="591"/>
      <c r="E272" s="60"/>
      <c r="F272" s="11" t="str">
        <f t="shared" si="6"/>
        <v/>
      </c>
    </row>
    <row r="273" spans="1:6" ht="14.4" hidden="1" customHeight="1" outlineLevel="2" x14ac:dyDescent="0.3">
      <c r="A273" s="579"/>
      <c r="B273" s="581"/>
      <c r="C273" s="590"/>
      <c r="D273" s="591"/>
      <c r="E273" s="60"/>
      <c r="F273" s="11" t="str">
        <f t="shared" si="6"/>
        <v/>
      </c>
    </row>
    <row r="274" spans="1:6" ht="14.4" hidden="1" customHeight="1" outlineLevel="2" x14ac:dyDescent="0.3">
      <c r="A274" s="579"/>
      <c r="B274" s="581"/>
      <c r="C274" s="590"/>
      <c r="D274" s="591"/>
      <c r="E274" s="60"/>
      <c r="F274" s="11" t="str">
        <f t="shared" si="6"/>
        <v/>
      </c>
    </row>
    <row r="275" spans="1:6" ht="14.4" hidden="1" customHeight="1" outlineLevel="2" x14ac:dyDescent="0.3">
      <c r="A275" s="579"/>
      <c r="B275" s="581"/>
      <c r="C275" s="590"/>
      <c r="D275" s="591"/>
      <c r="E275" s="60"/>
      <c r="F275" s="11" t="str">
        <f t="shared" si="6"/>
        <v/>
      </c>
    </row>
    <row r="276" spans="1:6" ht="14.4" hidden="1" customHeight="1" outlineLevel="2" x14ac:dyDescent="0.3">
      <c r="A276" s="579"/>
      <c r="B276" s="581"/>
      <c r="C276" s="590"/>
      <c r="D276" s="591"/>
      <c r="E276" s="60"/>
      <c r="F276" s="11" t="str">
        <f t="shared" si="6"/>
        <v/>
      </c>
    </row>
    <row r="277" spans="1:6" ht="14.4" hidden="1" customHeight="1" outlineLevel="2" x14ac:dyDescent="0.3">
      <c r="A277" s="579"/>
      <c r="B277" s="581"/>
      <c r="C277" s="590"/>
      <c r="D277" s="591"/>
      <c r="E277" s="60"/>
      <c r="F277" s="11" t="str">
        <f t="shared" si="6"/>
        <v/>
      </c>
    </row>
    <row r="278" spans="1:6" ht="14.4" hidden="1" customHeight="1" outlineLevel="2" x14ac:dyDescent="0.3">
      <c r="A278" s="579"/>
      <c r="B278" s="581"/>
      <c r="C278" s="590"/>
      <c r="D278" s="591"/>
      <c r="E278" s="60"/>
      <c r="F278" s="11" t="str">
        <f t="shared" si="6"/>
        <v/>
      </c>
    </row>
    <row r="279" spans="1:6" ht="14.4" hidden="1" customHeight="1" outlineLevel="2" x14ac:dyDescent="0.3">
      <c r="A279" s="579"/>
      <c r="B279" s="581"/>
      <c r="C279" s="590"/>
      <c r="D279" s="591"/>
      <c r="E279" s="60"/>
      <c r="F279" s="11" t="str">
        <f t="shared" si="6"/>
        <v/>
      </c>
    </row>
    <row r="280" spans="1:6" ht="14.4" hidden="1" customHeight="1" outlineLevel="2" x14ac:dyDescent="0.3">
      <c r="A280" s="579"/>
      <c r="B280" s="581"/>
      <c r="C280" s="590"/>
      <c r="D280" s="591"/>
      <c r="E280" s="60"/>
      <c r="F280" s="11" t="str">
        <f t="shared" si="6"/>
        <v/>
      </c>
    </row>
    <row r="281" spans="1:6" ht="14.4" hidden="1" customHeight="1" outlineLevel="2" x14ac:dyDescent="0.3">
      <c r="A281" s="579"/>
      <c r="B281" s="581"/>
      <c r="C281" s="590"/>
      <c r="D281" s="591"/>
      <c r="E281" s="60"/>
      <c r="F281" s="11" t="str">
        <f t="shared" si="6"/>
        <v/>
      </c>
    </row>
    <row r="282" spans="1:6" ht="14.4" hidden="1" customHeight="1" outlineLevel="2" x14ac:dyDescent="0.3">
      <c r="A282" s="579"/>
      <c r="B282" s="581"/>
      <c r="C282" s="590"/>
      <c r="D282" s="591"/>
      <c r="E282" s="60"/>
      <c r="F282" s="11" t="str">
        <f t="shared" si="6"/>
        <v/>
      </c>
    </row>
    <row r="283" spans="1:6" ht="14.4" hidden="1" customHeight="1" outlineLevel="2" x14ac:dyDescent="0.3">
      <c r="A283" s="579"/>
      <c r="B283" s="581"/>
      <c r="C283" s="590"/>
      <c r="D283" s="591"/>
      <c r="E283" s="60"/>
      <c r="F283" s="11" t="str">
        <f t="shared" si="6"/>
        <v/>
      </c>
    </row>
    <row r="284" spans="1:6" ht="14.4" hidden="1" customHeight="1" outlineLevel="2" x14ac:dyDescent="0.3">
      <c r="A284" s="579"/>
      <c r="B284" s="581"/>
      <c r="C284" s="590"/>
      <c r="D284" s="591"/>
      <c r="E284" s="60"/>
      <c r="F284" s="11" t="str">
        <f t="shared" si="6"/>
        <v/>
      </c>
    </row>
    <row r="285" spans="1:6" ht="14.4" hidden="1" customHeight="1" outlineLevel="2" x14ac:dyDescent="0.3">
      <c r="A285" s="579"/>
      <c r="B285" s="581"/>
      <c r="C285" s="590"/>
      <c r="D285" s="591"/>
      <c r="E285" s="60"/>
      <c r="F285" s="11" t="str">
        <f t="shared" si="6"/>
        <v/>
      </c>
    </row>
    <row r="286" spans="1:6" ht="14.4" hidden="1" customHeight="1" outlineLevel="2" x14ac:dyDescent="0.3">
      <c r="A286" s="579"/>
      <c r="B286" s="581"/>
      <c r="C286" s="590"/>
      <c r="D286" s="591"/>
      <c r="E286" s="60"/>
      <c r="F286" s="11" t="str">
        <f t="shared" si="6"/>
        <v/>
      </c>
    </row>
    <row r="287" spans="1:6" ht="14.4" hidden="1" customHeight="1" outlineLevel="2" x14ac:dyDescent="0.3">
      <c r="A287" s="579"/>
      <c r="B287" s="581"/>
      <c r="C287" s="590"/>
      <c r="D287" s="591"/>
      <c r="E287" s="60"/>
      <c r="F287" s="11" t="str">
        <f t="shared" si="6"/>
        <v/>
      </c>
    </row>
    <row r="288" spans="1:6" ht="14.4" hidden="1" customHeight="1" outlineLevel="2" x14ac:dyDescent="0.3">
      <c r="A288" s="579"/>
      <c r="B288" s="581"/>
      <c r="C288" s="590"/>
      <c r="D288" s="591"/>
      <c r="E288" s="60"/>
      <c r="F288" s="11" t="str">
        <f t="shared" si="6"/>
        <v/>
      </c>
    </row>
    <row r="289" spans="1:6" ht="14.4" hidden="1" customHeight="1" outlineLevel="2" x14ac:dyDescent="0.3">
      <c r="A289" s="579"/>
      <c r="B289" s="581"/>
      <c r="C289" s="590"/>
      <c r="D289" s="591"/>
      <c r="E289" s="60"/>
      <c r="F289" s="11" t="str">
        <f t="shared" si="6"/>
        <v/>
      </c>
    </row>
    <row r="290" spans="1:6" ht="14.4" hidden="1" customHeight="1" outlineLevel="2" x14ac:dyDescent="0.3">
      <c r="A290" s="579"/>
      <c r="B290" s="581"/>
      <c r="C290" s="590"/>
      <c r="D290" s="591"/>
      <c r="E290" s="60"/>
      <c r="F290" s="11" t="str">
        <f t="shared" si="6"/>
        <v/>
      </c>
    </row>
    <row r="291" spans="1:6" ht="14.4" hidden="1" customHeight="1" outlineLevel="2" x14ac:dyDescent="0.3">
      <c r="A291" s="579"/>
      <c r="B291" s="581"/>
      <c r="C291" s="590"/>
      <c r="D291" s="591"/>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579"/>
      <c r="B292" s="581"/>
      <c r="C292" s="590"/>
      <c r="D292" s="591"/>
      <c r="E292" s="60"/>
      <c r="F292" s="11" t="str">
        <f t="shared" si="7"/>
        <v/>
      </c>
    </row>
    <row r="293" spans="1:6" ht="14.4" hidden="1" customHeight="1" outlineLevel="2" x14ac:dyDescent="0.3">
      <c r="A293" s="579"/>
      <c r="B293" s="581"/>
      <c r="C293" s="590"/>
      <c r="D293" s="591"/>
      <c r="E293" s="60"/>
      <c r="F293" s="11" t="str">
        <f t="shared" si="7"/>
        <v/>
      </c>
    </row>
    <row r="294" spans="1:6" ht="14.4" hidden="1" customHeight="1" outlineLevel="2" x14ac:dyDescent="0.3">
      <c r="A294" s="579"/>
      <c r="B294" s="581"/>
      <c r="C294" s="590"/>
      <c r="D294" s="591"/>
      <c r="E294" s="60"/>
      <c r="F294" s="11" t="str">
        <f t="shared" si="7"/>
        <v/>
      </c>
    </row>
    <row r="295" spans="1:6" ht="14.4" hidden="1" customHeight="1" outlineLevel="2" x14ac:dyDescent="0.3">
      <c r="A295" s="579"/>
      <c r="B295" s="581"/>
      <c r="C295" s="590"/>
      <c r="D295" s="591"/>
      <c r="E295" s="60"/>
      <c r="F295" s="11" t="str">
        <f t="shared" si="7"/>
        <v/>
      </c>
    </row>
    <row r="296" spans="1:6" ht="14.4" hidden="1" customHeight="1" outlineLevel="2" x14ac:dyDescent="0.3">
      <c r="A296" s="579"/>
      <c r="B296" s="581"/>
      <c r="C296" s="590"/>
      <c r="D296" s="591"/>
      <c r="E296" s="60"/>
      <c r="F296" s="11" t="str">
        <f t="shared" si="7"/>
        <v/>
      </c>
    </row>
    <row r="297" spans="1:6" ht="14.4" hidden="1" customHeight="1" outlineLevel="2" x14ac:dyDescent="0.3">
      <c r="A297" s="579"/>
      <c r="B297" s="581"/>
      <c r="C297" s="590"/>
      <c r="D297" s="591"/>
      <c r="E297" s="60"/>
      <c r="F297" s="11" t="str">
        <f t="shared" si="7"/>
        <v/>
      </c>
    </row>
    <row r="298" spans="1:6" ht="14.4" hidden="1" customHeight="1" outlineLevel="2" x14ac:dyDescent="0.3">
      <c r="A298" s="579"/>
      <c r="B298" s="581"/>
      <c r="C298" s="590"/>
      <c r="D298" s="591"/>
      <c r="E298" s="60"/>
      <c r="F298" s="11" t="str">
        <f t="shared" si="7"/>
        <v/>
      </c>
    </row>
    <row r="299" spans="1:6" ht="14.4" hidden="1" customHeight="1" outlineLevel="2" x14ac:dyDescent="0.3">
      <c r="A299" s="579"/>
      <c r="B299" s="581"/>
      <c r="C299" s="590"/>
      <c r="D299" s="591"/>
      <c r="E299" s="60"/>
      <c r="F299" s="11" t="str">
        <f t="shared" si="7"/>
        <v/>
      </c>
    </row>
    <row r="300" spans="1:6" ht="14.4" hidden="1" customHeight="1" outlineLevel="2" x14ac:dyDescent="0.3">
      <c r="A300" s="579"/>
      <c r="B300" s="581"/>
      <c r="C300" s="590"/>
      <c r="D300" s="591"/>
      <c r="E300" s="60"/>
      <c r="F300" s="11" t="str">
        <f t="shared" si="7"/>
        <v/>
      </c>
    </row>
    <row r="301" spans="1:6" ht="14.4" hidden="1" customHeight="1" outlineLevel="2" x14ac:dyDescent="0.3">
      <c r="A301" s="579"/>
      <c r="B301" s="581"/>
      <c r="C301" s="590"/>
      <c r="D301" s="591"/>
      <c r="E301" s="60"/>
      <c r="F301" s="11" t="str">
        <f t="shared" si="7"/>
        <v/>
      </c>
    </row>
    <row r="302" spans="1:6" ht="14.4" hidden="1" customHeight="1" outlineLevel="2" x14ac:dyDescent="0.3">
      <c r="A302" s="579"/>
      <c r="B302" s="581"/>
      <c r="C302" s="590"/>
      <c r="D302" s="591"/>
      <c r="E302" s="60"/>
      <c r="F302" s="11" t="str">
        <f t="shared" si="7"/>
        <v/>
      </c>
    </row>
    <row r="303" spans="1:6" ht="14.4" hidden="1" customHeight="1" outlineLevel="2" x14ac:dyDescent="0.3">
      <c r="A303" s="579"/>
      <c r="B303" s="581"/>
      <c r="C303" s="590"/>
      <c r="D303" s="591"/>
      <c r="E303" s="60"/>
      <c r="F303" s="11" t="str">
        <f t="shared" si="7"/>
        <v/>
      </c>
    </row>
    <row r="304" spans="1:6" ht="14.4" hidden="1" customHeight="1" outlineLevel="2" x14ac:dyDescent="0.3">
      <c r="A304" s="579"/>
      <c r="B304" s="581"/>
      <c r="C304" s="590"/>
      <c r="D304" s="591"/>
      <c r="E304" s="60"/>
      <c r="F304" s="11" t="str">
        <f t="shared" si="7"/>
        <v/>
      </c>
    </row>
    <row r="305" spans="1:6" ht="14.4" hidden="1" customHeight="1" outlineLevel="2" x14ac:dyDescent="0.3">
      <c r="A305" s="579"/>
      <c r="B305" s="581"/>
      <c r="C305" s="590"/>
      <c r="D305" s="591"/>
      <c r="E305" s="60"/>
      <c r="F305" s="11" t="str">
        <f t="shared" si="7"/>
        <v/>
      </c>
    </row>
    <row r="306" spans="1:6" ht="14.4" hidden="1" customHeight="1" outlineLevel="2" x14ac:dyDescent="0.3">
      <c r="A306" s="579"/>
      <c r="B306" s="581"/>
      <c r="C306" s="590"/>
      <c r="D306" s="591"/>
      <c r="E306" s="60"/>
      <c r="F306" s="11" t="str">
        <f t="shared" si="7"/>
        <v/>
      </c>
    </row>
    <row r="307" spans="1:6" ht="14.4" hidden="1" customHeight="1" outlineLevel="2" x14ac:dyDescent="0.3">
      <c r="A307" s="579"/>
      <c r="B307" s="581"/>
      <c r="C307" s="590"/>
      <c r="D307" s="591"/>
      <c r="E307" s="60"/>
      <c r="F307" s="11" t="str">
        <f t="shared" si="7"/>
        <v/>
      </c>
    </row>
    <row r="308" spans="1:6" ht="14.4" hidden="1" customHeight="1" outlineLevel="2" x14ac:dyDescent="0.3">
      <c r="A308" s="579"/>
      <c r="B308" s="581"/>
      <c r="C308" s="590"/>
      <c r="D308" s="591"/>
      <c r="E308" s="60"/>
      <c r="F308" s="11" t="str">
        <f t="shared" si="7"/>
        <v/>
      </c>
    </row>
    <row r="309" spans="1:6" ht="14.4" hidden="1" customHeight="1" outlineLevel="2" x14ac:dyDescent="0.3">
      <c r="A309" s="579"/>
      <c r="B309" s="581"/>
      <c r="C309" s="590"/>
      <c r="D309" s="591"/>
      <c r="E309" s="60"/>
      <c r="F309" s="11" t="str">
        <f t="shared" si="7"/>
        <v/>
      </c>
    </row>
    <row r="310" spans="1:6" ht="14.4" hidden="1" customHeight="1" outlineLevel="2" x14ac:dyDescent="0.3">
      <c r="A310" s="579"/>
      <c r="B310" s="581"/>
      <c r="C310" s="590"/>
      <c r="D310" s="591"/>
      <c r="E310" s="60"/>
      <c r="F310" s="11" t="str">
        <f t="shared" si="7"/>
        <v/>
      </c>
    </row>
    <row r="311" spans="1:6" ht="14.4" hidden="1" customHeight="1" outlineLevel="2" x14ac:dyDescent="0.3">
      <c r="A311" s="579"/>
      <c r="B311" s="581"/>
      <c r="C311" s="590"/>
      <c r="D311" s="591"/>
      <c r="E311" s="60"/>
      <c r="F311" s="11" t="str">
        <f t="shared" si="7"/>
        <v/>
      </c>
    </row>
    <row r="312" spans="1:6" ht="14.4" hidden="1" customHeight="1" outlineLevel="2" x14ac:dyDescent="0.3">
      <c r="A312" s="579"/>
      <c r="B312" s="581"/>
      <c r="C312" s="590"/>
      <c r="D312" s="591"/>
      <c r="E312" s="60"/>
      <c r="F312" s="11" t="str">
        <f t="shared" si="7"/>
        <v/>
      </c>
    </row>
    <row r="313" spans="1:6" ht="14.4" hidden="1" customHeight="1" outlineLevel="2" x14ac:dyDescent="0.3">
      <c r="A313" s="579"/>
      <c r="B313" s="581"/>
      <c r="C313" s="590"/>
      <c r="D313" s="591"/>
      <c r="E313" s="60"/>
      <c r="F313" s="11" t="str">
        <f t="shared" si="7"/>
        <v/>
      </c>
    </row>
    <row r="314" spans="1:6" ht="14.4" hidden="1" customHeight="1" outlineLevel="2" x14ac:dyDescent="0.3">
      <c r="A314" s="579"/>
      <c r="B314" s="581"/>
      <c r="C314" s="590"/>
      <c r="D314" s="591"/>
      <c r="E314" s="60"/>
      <c r="F314" s="11" t="str">
        <f t="shared" si="7"/>
        <v/>
      </c>
    </row>
    <row r="315" spans="1:6" ht="14.4" hidden="1" customHeight="1" outlineLevel="2" x14ac:dyDescent="0.3">
      <c r="A315" s="579"/>
      <c r="B315" s="581"/>
      <c r="C315" s="590"/>
      <c r="D315" s="591"/>
      <c r="E315" s="60"/>
      <c r="F315" s="11" t="str">
        <f t="shared" si="7"/>
        <v/>
      </c>
    </row>
    <row r="316" spans="1:6" ht="14.4" hidden="1" customHeight="1" outlineLevel="2" x14ac:dyDescent="0.3">
      <c r="A316" s="579"/>
      <c r="B316" s="581"/>
      <c r="C316" s="590"/>
      <c r="D316" s="591"/>
      <c r="E316" s="60"/>
      <c r="F316" s="11" t="str">
        <f t="shared" si="7"/>
        <v/>
      </c>
    </row>
    <row r="317" spans="1:6" ht="14.4" hidden="1" customHeight="1" outlineLevel="2" x14ac:dyDescent="0.3">
      <c r="A317" s="579"/>
      <c r="B317" s="581"/>
      <c r="C317" s="590"/>
      <c r="D317" s="591"/>
      <c r="E317" s="60"/>
      <c r="F317" s="11" t="str">
        <f t="shared" si="7"/>
        <v/>
      </c>
    </row>
    <row r="318" spans="1:6" ht="14.4" hidden="1" customHeight="1" outlineLevel="2" x14ac:dyDescent="0.3">
      <c r="A318" s="579"/>
      <c r="B318" s="581"/>
      <c r="C318" s="590"/>
      <c r="D318" s="591"/>
      <c r="E318" s="60"/>
      <c r="F318" s="11" t="str">
        <f t="shared" si="7"/>
        <v/>
      </c>
    </row>
    <row r="319" spans="1:6" ht="14.4" hidden="1" customHeight="1" outlineLevel="2" x14ac:dyDescent="0.3">
      <c r="A319" s="579"/>
      <c r="B319" s="581"/>
      <c r="C319" s="590"/>
      <c r="D319" s="591"/>
      <c r="E319" s="60"/>
      <c r="F319" s="11" t="str">
        <f t="shared" si="7"/>
        <v/>
      </c>
    </row>
    <row r="320" spans="1:6" ht="14.4" hidden="1" customHeight="1" outlineLevel="2" x14ac:dyDescent="0.3">
      <c r="A320" s="579"/>
      <c r="B320" s="581"/>
      <c r="C320" s="590"/>
      <c r="D320" s="591"/>
      <c r="E320" s="60"/>
      <c r="F320" s="11" t="str">
        <f t="shared" si="7"/>
        <v/>
      </c>
    </row>
    <row r="321" spans="1:7" ht="14.4" hidden="1" customHeight="1" outlineLevel="2" x14ac:dyDescent="0.3">
      <c r="A321" s="579"/>
      <c r="B321" s="581"/>
      <c r="C321" s="590"/>
      <c r="D321" s="591"/>
      <c r="E321" s="60"/>
      <c r="F321" s="11" t="str">
        <f t="shared" si="7"/>
        <v/>
      </c>
    </row>
    <row r="322" spans="1:7" ht="14.4" hidden="1" customHeight="1" outlineLevel="2" x14ac:dyDescent="0.3">
      <c r="A322" s="579"/>
      <c r="B322" s="581"/>
      <c r="C322" s="590"/>
      <c r="D322" s="591"/>
      <c r="E322" s="60"/>
      <c r="F322" s="11" t="str">
        <f t="shared" si="7"/>
        <v/>
      </c>
    </row>
    <row r="323" spans="1:7" ht="14.4" hidden="1" customHeight="1" outlineLevel="2" x14ac:dyDescent="0.3">
      <c r="A323" s="579"/>
      <c r="B323" s="581"/>
      <c r="C323" s="590"/>
      <c r="D323" s="591"/>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579"/>
      <c r="B324" s="581"/>
      <c r="C324" s="590"/>
      <c r="D324" s="591"/>
      <c r="E324" s="60"/>
      <c r="F324" s="11" t="str">
        <f t="shared" si="8"/>
        <v/>
      </c>
    </row>
    <row r="325" spans="1:7" ht="14.4" hidden="1" customHeight="1" outlineLevel="2" x14ac:dyDescent="0.3">
      <c r="A325" s="579"/>
      <c r="B325" s="581"/>
      <c r="C325" s="590"/>
      <c r="D325" s="591"/>
      <c r="E325" s="60"/>
      <c r="F325" s="11" t="str">
        <f t="shared" si="8"/>
        <v/>
      </c>
    </row>
    <row r="326" spans="1:7" ht="14.4" customHeight="1" collapsed="1" x14ac:dyDescent="0.3">
      <c r="A326" s="441" t="s">
        <v>3734</v>
      </c>
      <c r="B326" s="249" t="s">
        <v>1</v>
      </c>
      <c r="C326" s="582" t="str">
        <f>template_label_size_of_balance_sheet_in &amp; " " &amp; template_currency</f>
        <v xml:space="preserve">Size of balance sheet (total assets) in </v>
      </c>
      <c r="D326" s="583"/>
      <c r="E326" s="63"/>
      <c r="F326" s="11" t="str">
        <f>IF(AND(OR(E122 = "Option A (Basic Module only)", E122 = "Option B (Basic Module and Comprehensive Module)"), E326 = ""),
    template_label_missing_value,
    IF(E122 = "", "", template_label_ok))</f>
        <v/>
      </c>
    </row>
    <row r="327" spans="1:7" ht="14.4" customHeight="1" x14ac:dyDescent="0.3">
      <c r="A327" s="441" t="s">
        <v>3735</v>
      </c>
      <c r="B327" s="249" t="s">
        <v>1</v>
      </c>
      <c r="C327" s="582" t="str">
        <f>template_label_turnover_in &amp; " " &amp; template_currency</f>
        <v xml:space="preserve">Turnover in </v>
      </c>
      <c r="D327" s="583"/>
      <c r="E327" s="63"/>
      <c r="F327" s="11" t="str">
        <f>IF(AND(OR(E122 = "Option A (Basic Module only)", E122 = "Option B (Basic Module and Comprehensive Module)"), E327 = ""),
    template_label_missing_value,
    IF(E122 = "", "", template_label_ok))</f>
        <v/>
      </c>
    </row>
    <row r="328" spans="1:7" ht="14.4" customHeight="1" x14ac:dyDescent="0.3">
      <c r="A328" s="441" t="s">
        <v>3725</v>
      </c>
      <c r="B328" s="445" t="s">
        <v>5639</v>
      </c>
      <c r="C328" s="582" t="str">
        <f>+template_label_number_of_employees</f>
        <v>Number of employees</v>
      </c>
      <c r="D328" s="583"/>
      <c r="E328" s="64"/>
      <c r="F328" s="11" t="str">
        <f>IF(AND(OR(E122 = "Option A (Basic Module only)", E122 = "Option B (Basic Module and Comprehensive Module)"), E328 = ""),
    template_label_missing_value,
    IF(E122 = "", "", template_label_ok))</f>
        <v/>
      </c>
    </row>
    <row r="329" spans="1:7" ht="14.4" customHeight="1" x14ac:dyDescent="0.3">
      <c r="A329" s="441" t="s">
        <v>3725</v>
      </c>
      <c r="B329" s="445" t="s">
        <v>5639</v>
      </c>
      <c r="C329" s="586" t="str">
        <f>template_label_employee_counting_methodology_end_of_reporting_period_or_average_during_the_reporting_period</f>
        <v>Employee counting methodology (At the end of reporting period or as an average during the reporting period)</v>
      </c>
      <c r="D329" s="587"/>
      <c r="E329" s="64"/>
      <c r="F329" s="11" t="str">
        <f>IF(AND(OR(E122 = "Option A (Basic Module only)", E122 = "Option B (Basic Module and Comprehensive Module)"), E329 = ""),
    template_label_missing_value,
    IF(E122 = "", "", template_label_ok))</f>
        <v/>
      </c>
    </row>
    <row r="330" spans="1:7" ht="14.4" customHeight="1" x14ac:dyDescent="0.3">
      <c r="A330" s="441" t="s">
        <v>3725</v>
      </c>
      <c r="B330" s="445" t="s">
        <v>5639</v>
      </c>
      <c r="C330" s="582" t="str">
        <f>template_label_employee_counting_methodology_headcount_or_fulltime_equivalent</f>
        <v>Employee counting methodology (Headcount or Full-time equivalent)</v>
      </c>
      <c r="D330" s="583"/>
      <c r="E330" s="61"/>
      <c r="F330" s="11" t="str">
        <f>IF(AND(OR(E122 = "Option A (Basic Module only)", E122 = "Option B (Basic Module and Comprehensive Module)"), E330 = ""),
    template_label_missing_value,
    IF(E122 = "", "", template_label_ok))</f>
        <v/>
      </c>
    </row>
    <row r="331" spans="1:7" ht="14.4" customHeight="1" thickBot="1" x14ac:dyDescent="0.35">
      <c r="A331" s="441" t="s">
        <v>3736</v>
      </c>
      <c r="B331" s="463" t="s">
        <v>5640</v>
      </c>
      <c r="C331" s="584" t="str">
        <f>template_label_country_of_primary_operations_and_location_of_significant_asset</f>
        <v>Country of primary operations and location of significant asset(s)</v>
      </c>
      <c r="D331" s="585"/>
      <c r="E331" s="65"/>
      <c r="F331" s="11" t="str">
        <f>IF(AND(OR(E122 = "Option A (Basic Module only)", E122 = "Option B (Basic Module and Comprehensive Module)"), E331 = ""),
    template_label_missing_value,
    IF(E122 = "", "", template_label_ok))</f>
        <v/>
      </c>
    </row>
    <row r="332" spans="1:7" ht="15" thickBot="1" x14ac:dyDescent="0.35">
      <c r="A332" s="247"/>
      <c r="B332" s="464"/>
    </row>
    <row r="333" spans="1:7" ht="14.4" customHeight="1" x14ac:dyDescent="0.3">
      <c r="A333" s="88"/>
      <c r="B333" s="88"/>
      <c r="C333" s="604"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333" s="605"/>
      <c r="E333" s="606"/>
    </row>
    <row r="334" spans="1:7" ht="14.4" customHeight="1" x14ac:dyDescent="0.3">
      <c r="A334" s="88"/>
      <c r="B334" s="88"/>
      <c r="C334" s="534" t="s">
        <v>3737</v>
      </c>
      <c r="D334" s="535"/>
      <c r="E334" s="536"/>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c r="E336" s="70"/>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643"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437" s="644"/>
      <c r="E437" s="644"/>
      <c r="F437" s="644"/>
      <c r="G437" s="644"/>
      <c r="H437" s="645"/>
    </row>
    <row r="438" spans="3:10" ht="14.4" customHeight="1" x14ac:dyDescent="0.3">
      <c r="C438" s="534">
        <v>25</v>
      </c>
      <c r="D438" s="535"/>
      <c r="E438" s="535"/>
      <c r="F438" s="535"/>
      <c r="G438" s="535"/>
      <c r="H438" s="536"/>
    </row>
    <row r="439" spans="3:10" ht="14.4" customHeight="1" x14ac:dyDescent="0.3">
      <c r="C439" s="646">
        <v>13</v>
      </c>
      <c r="D439" s="647"/>
      <c r="E439" s="647"/>
      <c r="F439" s="647"/>
      <c r="G439" s="647"/>
      <c r="H439" s="648"/>
    </row>
    <row r="440" spans="3:10" ht="14.4" customHeight="1" x14ac:dyDescent="0.3">
      <c r="C440" s="656" t="str">
        <f>template_label_has_the_undertaking_obtained_any_sustainability_related_certification_or_label</f>
        <v>Has the undertaking obtained any sustainability-related certification(s) or label(s) ?</v>
      </c>
      <c r="D440" s="657"/>
      <c r="E440" s="658" t="b">
        <v>0</v>
      </c>
      <c r="F440" s="659"/>
      <c r="G440" s="659"/>
      <c r="H440" s="660"/>
    </row>
    <row r="441" spans="3:10" ht="30" customHeight="1" thickBot="1" x14ac:dyDescent="0.35">
      <c r="C441" s="625" t="str">
        <f>template_label_description_of_sustainability_related_certification_or_label</f>
        <v>Description of sustainability-related certification(s) or label(s) including where relevant the issuers of the certification or label date and rating score</v>
      </c>
      <c r="D441" s="626"/>
      <c r="E441" s="543"/>
      <c r="F441" s="544"/>
      <c r="G441" s="544"/>
      <c r="H441" s="545"/>
      <c r="I441" s="16" t="str">
        <f>IF(AND(E440=TRUE,E441=""), template_label_missing_value,
IF(AND(E440=TRUE,E441&lt;&gt;""), template_label_ok, ""))</f>
        <v/>
      </c>
    </row>
    <row r="442" spans="3:10" ht="15" thickBot="1" x14ac:dyDescent="0.35"/>
    <row r="443" spans="3:10" x14ac:dyDescent="0.3">
      <c r="C443" s="604"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443" s="605"/>
      <c r="E443" s="605"/>
      <c r="F443" s="605"/>
      <c r="G443" s="605"/>
      <c r="H443" s="606"/>
    </row>
    <row r="444" spans="3:10" x14ac:dyDescent="0.3">
      <c r="C444" s="534" t="s">
        <v>3738</v>
      </c>
      <c r="D444" s="535"/>
      <c r="E444" s="535"/>
      <c r="F444" s="535"/>
      <c r="G444" s="535"/>
      <c r="H444" s="536"/>
    </row>
    <row r="445" spans="3:10" x14ac:dyDescent="0.3">
      <c r="C445" s="661" t="s">
        <v>5641</v>
      </c>
      <c r="D445" s="662"/>
      <c r="E445" s="662"/>
      <c r="F445" s="662"/>
      <c r="G445" s="662"/>
      <c r="H445" s="663"/>
    </row>
    <row r="446" spans="3:10" x14ac:dyDescent="0.3">
      <c r="C446" s="667" t="str">
        <f>template_label_id</f>
        <v>ID</v>
      </c>
      <c r="D446" s="540" t="str">
        <f>template_label_address</f>
        <v>Address</v>
      </c>
      <c r="E446" s="540" t="str">
        <f>template_label_postal_code</f>
        <v>Postal code</v>
      </c>
      <c r="F446" s="537" t="str">
        <f>template_label_city</f>
        <v>City</v>
      </c>
      <c r="G446" s="540" t="str">
        <f>template_label_country</f>
        <v>Country</v>
      </c>
      <c r="H446" s="216" t="str">
        <f>template_label_gps_coordinates</f>
        <v>GPS Coordinates (geolocation)</v>
      </c>
      <c r="I446" s="95"/>
    </row>
    <row r="447" spans="3:10" ht="78" customHeight="1" x14ac:dyDescent="0.3">
      <c r="C447" s="668"/>
      <c r="D447" s="541"/>
      <c r="E447" s="541"/>
      <c r="F447" s="538"/>
      <c r="G447" s="541"/>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668"/>
      <c r="D448" s="541"/>
      <c r="E448" s="541"/>
      <c r="F448" s="538"/>
      <c r="G448" s="541"/>
      <c r="H448" s="419" t="s">
        <v>4362</v>
      </c>
      <c r="I448" s="418"/>
      <c r="J448" s="2"/>
    </row>
    <row r="449" spans="3:13" x14ac:dyDescent="0.3">
      <c r="C449" s="669"/>
      <c r="D449" s="542"/>
      <c r="E449" s="542"/>
      <c r="F449" s="539"/>
      <c r="G449" s="542"/>
      <c r="H449" s="380" t="b">
        <v>0</v>
      </c>
      <c r="I449" s="95"/>
      <c r="J449" s="342"/>
    </row>
    <row r="450" spans="3:13" x14ac:dyDescent="0.3">
      <c r="C450" s="231">
        <v>1</v>
      </c>
      <c r="D450" s="72"/>
      <c r="E450" s="73"/>
      <c r="F450" s="74"/>
      <c r="G450" s="72"/>
      <c r="H450" s="207" t="str">
        <f>IF(COUNTA(D450:G450)=COLUMNS(D450:G450), IFERROR('Technical Sheet'!G2, "-"), "-")</f>
        <v>-</v>
      </c>
      <c r="I450" s="17" t="str">
        <f>IF(OR(E122="Option A (Basic Module only)", E122="Option B (Basic Module and Comprehensive Module)"),
    IF(AND(D450&lt;&gt;"", E450&lt;&gt;"", F450&lt;&gt;"", G450&lt;&gt;"", H450&lt;&gt;""),
        template_label_ok,
        template_label_missing_value
    ),
    ""
)</f>
        <v/>
      </c>
      <c r="J450" s="215" t="str">
        <f>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546"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51" s="547"/>
      <c r="E551" s="547"/>
      <c r="F551" s="547"/>
      <c r="G551" s="547"/>
      <c r="H551" s="547"/>
      <c r="I551" s="547"/>
      <c r="J551" s="547"/>
      <c r="K551" s="547"/>
      <c r="L551" s="547"/>
      <c r="M551" s="547"/>
      <c r="N551" s="547"/>
      <c r="O551" s="548"/>
    </row>
    <row r="552" spans="2:17" s="10" customFormat="1" x14ac:dyDescent="0.3">
      <c r="C552" s="534" t="s">
        <v>3739</v>
      </c>
      <c r="D552" s="535"/>
      <c r="E552" s="535"/>
      <c r="F552" s="535"/>
      <c r="G552" s="535"/>
      <c r="H552" s="535"/>
      <c r="I552" s="535"/>
      <c r="J552" s="535"/>
      <c r="K552" s="535"/>
      <c r="L552" s="535"/>
      <c r="M552" s="535"/>
      <c r="N552" s="535"/>
      <c r="O552" s="536"/>
      <c r="P552"/>
      <c r="Q552"/>
    </row>
    <row r="553" spans="2:17" x14ac:dyDescent="0.3">
      <c r="C553" s="649" t="s">
        <v>5642</v>
      </c>
      <c r="D553" s="650"/>
      <c r="E553" s="650"/>
      <c r="F553" s="650"/>
      <c r="G553" s="650"/>
      <c r="H553" s="650"/>
      <c r="I553" s="650"/>
      <c r="J553" s="650"/>
      <c r="K553" s="650"/>
      <c r="L553" s="650"/>
      <c r="M553" s="650"/>
      <c r="N553" s="650"/>
      <c r="O553" s="651"/>
    </row>
    <row r="554" spans="2:17" x14ac:dyDescent="0.3">
      <c r="C554" s="654" t="str">
        <f>template_label_has_the_undertaking_put_in_place_specific_practices_policies_and_or_future</f>
        <v>Has the undertaking put in place specific practices policies and or future initiatives for transitioning towards a more sustainable economy?</v>
      </c>
      <c r="D554" s="664" t="str">
        <f>template_label_sustainability_issues_addressed_by_a_practice_policy_and_or_future_initiatives_put_in_place</f>
        <v>Sustainability issues addressed by a practice policy and or future initiatives that the undertaking has put in place</v>
      </c>
      <c r="E554" s="664"/>
      <c r="F554" s="664"/>
      <c r="G554" s="664"/>
      <c r="H554" s="664"/>
      <c r="I554" s="664"/>
      <c r="J554" s="664"/>
      <c r="K554" s="664"/>
      <c r="L554" s="664"/>
      <c r="M554" s="664"/>
      <c r="N554" s="537" t="str">
        <f>template_label_undertaking_has_a_practice_policy_and_or_future_initiative_that_is_publicly_available</f>
        <v>Undertaking has a practice policy and or future initiative that is publicly available</v>
      </c>
      <c r="O554" s="665" t="str">
        <f>template_label_undertaking_has_set_a_target_which_is_related_to_a_policy</f>
        <v>Undertaking has set a target which is related to a policy</v>
      </c>
    </row>
    <row r="555" spans="2:17" ht="41.4" customHeight="1" x14ac:dyDescent="0.3">
      <c r="C555" s="655"/>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39"/>
      <c r="O555" s="666"/>
    </row>
    <row r="556" spans="2:17" ht="15" thickBot="1" x14ac:dyDescent="0.35">
      <c r="C556" s="206" t="b">
        <v>0</v>
      </c>
      <c r="D556" s="205" t="b">
        <v>0</v>
      </c>
      <c r="E556" s="203" t="b">
        <v>0</v>
      </c>
      <c r="F556" s="203" t="b">
        <v>0</v>
      </c>
      <c r="G556" s="203" t="b">
        <v>0</v>
      </c>
      <c r="H556" s="203" t="b">
        <v>0</v>
      </c>
      <c r="I556" s="203" t="b">
        <v>0</v>
      </c>
      <c r="J556" s="203" t="b">
        <v>0</v>
      </c>
      <c r="K556" s="203" t="b">
        <v>0</v>
      </c>
      <c r="L556" s="203" t="b">
        <v>0</v>
      </c>
      <c r="M556" s="203" t="b">
        <v>0</v>
      </c>
      <c r="N556" s="203" t="b">
        <v>0</v>
      </c>
      <c r="O556" s="204" t="b">
        <v>0</v>
      </c>
      <c r="P556" s="16" t="str">
        <f>IF(C556=TRUE, IF(COUNTIF(D556:M556, TRUE)&gt;0, template_label_ok, template_label_missing_value), "")</f>
        <v/>
      </c>
    </row>
    <row r="557" spans="2:17" ht="57.45" customHeight="1" thickBot="1" x14ac:dyDescent="0.35">
      <c r="F557"/>
    </row>
    <row r="558" spans="2:17" x14ac:dyDescent="0.3">
      <c r="C558" s="641"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58" s="642"/>
      <c r="F558"/>
    </row>
    <row r="559" spans="2:17" x14ac:dyDescent="0.3">
      <c r="C559" s="652">
        <v>15</v>
      </c>
      <c r="D559" s="653"/>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619"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64" s="620"/>
      <c r="E564" s="620"/>
      <c r="F564" s="620"/>
      <c r="G564" s="621"/>
    </row>
    <row r="565" spans="1:8" ht="37.950000000000003" customHeight="1" x14ac:dyDescent="0.3">
      <c r="A565" s="443">
        <v>48</v>
      </c>
      <c r="B565" s="446">
        <v>149</v>
      </c>
      <c r="C565" s="630"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631"/>
      <c r="E565" s="674"/>
      <c r="F565" s="675"/>
      <c r="G565" s="676"/>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spans="1:8" x14ac:dyDescent="0.3">
      <c r="A566" s="250" t="s">
        <v>1</v>
      </c>
      <c r="B566" s="446">
        <v>149</v>
      </c>
      <c r="C566" s="586" t="str">
        <f>template_label_description_of_target_related_to_a_policy</f>
        <v>Description of target related to a policy</v>
      </c>
      <c r="D566" s="587"/>
      <c r="E566" s="674"/>
      <c r="F566" s="675"/>
      <c r="G566" s="676"/>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570" t="str">
        <f>template_label_most_senior_level_accountable_for_implementing_practices_policies_and_or_future_initiatives</f>
        <v>Most senior level within its employees that is accountable for implementing the policies when this has been determined by the undertaking</v>
      </c>
      <c r="D567" s="571"/>
      <c r="E567" s="677"/>
      <c r="F567" s="678"/>
      <c r="G567" s="679"/>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
      </c>
    </row>
    <row r="568" spans="1:8" ht="14.7" customHeight="1" x14ac:dyDescent="0.3">
      <c r="F568"/>
    </row>
    <row r="569" spans="1:8" ht="14.7" customHeight="1" thickBot="1" x14ac:dyDescent="0.35">
      <c r="F569"/>
    </row>
    <row r="570" spans="1:8" ht="14.85" customHeight="1" x14ac:dyDescent="0.3">
      <c r="C570" s="619"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 to - [Always to be reported]</v>
      </c>
      <c r="D570" s="620"/>
      <c r="E570" s="620"/>
      <c r="F570" s="620"/>
      <c r="G570" s="621"/>
    </row>
    <row r="571" spans="1:8" x14ac:dyDescent="0.3">
      <c r="A571" s="441" t="s">
        <v>3740</v>
      </c>
      <c r="B571" s="249" t="s">
        <v>1</v>
      </c>
      <c r="C571" s="574" t="str">
        <f>template_label_description_of_significant_groups_of_products_and_or_services_offered</f>
        <v>Description of significant groups of products and or services offered</v>
      </c>
      <c r="D571" s="575"/>
      <c r="E571" s="561"/>
      <c r="F571" s="562"/>
      <c r="G571" s="563"/>
      <c r="H571" s="16" t="str">
        <f>IF(AND($E$122="Option B (Basic Module and Comprehensive Module)", E571=""), template_label_missing_value,
   IF(AND($E$122="Option A (Basic Module only)", E571&lt;&gt;""), template_label_ok,
   IF(AND($E$122="Option B (Basic Module and Comprehensive Module)", E571&lt;&gt;""), template_label_ok, "")))</f>
        <v/>
      </c>
    </row>
    <row r="572" spans="1:8" x14ac:dyDescent="0.3">
      <c r="A572" s="441" t="s">
        <v>3741</v>
      </c>
      <c r="B572" s="249" t="s">
        <v>1</v>
      </c>
      <c r="C572" s="576" t="str">
        <f>template_label_description_of_significant_market_the_undertaking_operates_in</f>
        <v>Description of significant market(s) the undertaking operates in (e.g. B2B, wholesale, retail, countries)</v>
      </c>
      <c r="D572" s="577"/>
      <c r="E572" s="564"/>
      <c r="F572" s="564"/>
      <c r="G572" s="565"/>
      <c r="H572" s="16" t="str">
        <f>IF(AND($E$122="Option B (Basic Module and Comprehensive Module)", E572=""), template_label_missing_value,
   IF(AND($E$122="Option A (Basic Module only)", E572&lt;&gt;""), template_label_ok,
   IF(AND($E$122="Option B (Basic Module and Comprehensive Module)", E572&lt;&gt;""), template_label_ok, "")))</f>
        <v/>
      </c>
    </row>
    <row r="573" spans="1:8" ht="15" thickBot="1" x14ac:dyDescent="0.35">
      <c r="A573" s="441" t="s">
        <v>3742</v>
      </c>
      <c r="B573" s="444">
        <v>148</v>
      </c>
      <c r="C573" s="572" t="str">
        <f>template_label_description_of_main_business_relationships</f>
        <v>Description of main business relationships (such as key suppliers, customers, distribution channels)</v>
      </c>
      <c r="D573" s="573"/>
      <c r="E573" s="566"/>
      <c r="F573" s="566"/>
      <c r="G573" s="567"/>
      <c r="H573" s="16" t="str">
        <f>IF(AND($E$122="Option B (Basic Module and Comprehensive Module)", E573=""), template_label_missing_value,
   IF(AND($E$122="Option A (Basic Module only)", E573&lt;&gt;""), template_label_ok,
   IF(AND($E$122="Option B (Basic Module and Comprehensive Module)", E573&lt;&gt;""), template_label_ok, "")))</f>
        <v/>
      </c>
    </row>
    <row r="574" spans="1:8" ht="27" customHeight="1" thickBot="1" x14ac:dyDescent="0.35">
      <c r="F574"/>
    </row>
    <row r="575" spans="1:8" ht="14.4" customHeight="1" x14ac:dyDescent="0.3">
      <c r="C575" s="619"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 to - [If applicable]</v>
      </c>
      <c r="D575" s="620"/>
      <c r="E575" s="620"/>
      <c r="F575" s="620"/>
      <c r="G575" s="621"/>
    </row>
    <row r="576" spans="1:8" x14ac:dyDescent="0.3">
      <c r="C576" s="670" t="str">
        <f>template_label_has_the_strategy_key_elements_that_relate_to_or_affect_sustainability_issues</f>
        <v>Has the strategy key elements that relate to or affect sustainability issues?</v>
      </c>
      <c r="D576" s="671"/>
      <c r="E576" s="672" t="b">
        <v>0</v>
      </c>
      <c r="F576" s="672"/>
      <c r="G576" s="673"/>
    </row>
    <row r="577" spans="1:15" ht="15" thickBot="1" x14ac:dyDescent="0.35">
      <c r="A577" s="441" t="s">
        <v>3743</v>
      </c>
      <c r="B577" s="249" t="s">
        <v>1</v>
      </c>
      <c r="C577" s="570" t="str">
        <f>template_label_description_of_those_key_elements_in_the_strategy_that_relate_or_affect_sustainability_issues</f>
        <v>Description of those key elements in the strategy that relate or affect sustainability issues</v>
      </c>
      <c r="D577" s="571"/>
      <c r="E577" s="568"/>
      <c r="F577" s="568"/>
      <c r="G577" s="569"/>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spans="1:15" ht="15" thickBot="1" x14ac:dyDescent="0.35"/>
    <row r="579" spans="1:15" ht="14.85" customHeight="1" x14ac:dyDescent="0.3">
      <c r="C579" s="558"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79" s="559"/>
      <c r="E579" s="559"/>
      <c r="F579" s="559"/>
      <c r="G579" s="559"/>
      <c r="H579" s="560"/>
      <c r="I579" s="10"/>
      <c r="J579" s="10"/>
      <c r="K579" s="10"/>
      <c r="L579" s="10"/>
      <c r="M579" s="10"/>
      <c r="N579" s="10"/>
      <c r="O579" s="10"/>
    </row>
    <row r="580" spans="1:15" ht="14.85" customHeight="1" x14ac:dyDescent="0.3">
      <c r="B580" s="251"/>
      <c r="C580" s="556">
        <v>10</v>
      </c>
      <c r="D580" s="556"/>
      <c r="E580" s="556"/>
      <c r="F580" s="556"/>
      <c r="G580" s="556"/>
      <c r="H580" s="557"/>
      <c r="I580" s="10"/>
      <c r="J580" s="10"/>
      <c r="K580" s="10"/>
      <c r="L580" s="10"/>
      <c r="M580" s="10"/>
      <c r="N580" s="10"/>
      <c r="O580" s="10"/>
    </row>
    <row r="581" spans="1:15" ht="15" thickBot="1" x14ac:dyDescent="0.35">
      <c r="C581" s="552"/>
      <c r="D581" s="553"/>
      <c r="E581" s="553"/>
      <c r="F581" s="553"/>
      <c r="G581" s="553"/>
      <c r="H581" s="553"/>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C576:D576"/>
    <mergeCell ref="E576:G576"/>
    <mergeCell ref="C575:G575"/>
    <mergeCell ref="C567:D567"/>
    <mergeCell ref="E565:G565"/>
    <mergeCell ref="E567:G567"/>
    <mergeCell ref="E566:G566"/>
    <mergeCell ref="C565:D565"/>
    <mergeCell ref="C566:D566"/>
    <mergeCell ref="C570:G570"/>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A226:A325"/>
    <mergeCell ref="B226:B325"/>
    <mergeCell ref="C330:D330"/>
    <mergeCell ref="C331:D331"/>
    <mergeCell ref="C326:D326"/>
    <mergeCell ref="C329:D329"/>
    <mergeCell ref="C226:D325"/>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G10:K12"/>
    <mergeCell ref="C552:O552"/>
    <mergeCell ref="F446:F449"/>
    <mergeCell ref="E446:E449"/>
    <mergeCell ref="D446:D449"/>
    <mergeCell ref="C334:E334"/>
    <mergeCell ref="E441:H441"/>
    <mergeCell ref="C551:O551"/>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tabSelected="1" topLeftCell="B187"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643"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644"/>
      <c r="E2" s="644"/>
      <c r="F2" s="644"/>
      <c r="G2" s="644"/>
      <c r="H2" s="644"/>
      <c r="I2" s="644"/>
      <c r="J2" s="644"/>
      <c r="K2" s="645"/>
    </row>
    <row r="3" spans="1:13" x14ac:dyDescent="0.3">
      <c r="C3" s="534">
        <v>29</v>
      </c>
      <c r="D3" s="535"/>
      <c r="E3" s="535"/>
      <c r="F3" s="535"/>
      <c r="G3" s="535"/>
      <c r="H3" s="535"/>
      <c r="I3" s="535"/>
      <c r="J3" s="535"/>
      <c r="K3" s="536"/>
    </row>
    <row r="4" spans="1:13" x14ac:dyDescent="0.3">
      <c r="C4" s="750" t="s">
        <v>5643</v>
      </c>
      <c r="D4" s="751"/>
      <c r="E4" s="751"/>
      <c r="F4" s="751"/>
      <c r="G4" s="751"/>
      <c r="H4" s="751"/>
      <c r="I4" s="751"/>
      <c r="J4" s="751"/>
      <c r="K4" s="752"/>
    </row>
    <row r="5" spans="1:13" ht="15" thickBot="1" x14ac:dyDescent="0.35">
      <c r="C5" s="769" t="str">
        <f>template_label_total_energy_consumption</f>
        <v>Total Energy Consumption</v>
      </c>
      <c r="D5" s="770"/>
      <c r="E5" s="770"/>
      <c r="F5" s="771"/>
      <c r="G5" s="786"/>
      <c r="H5" s="787"/>
      <c r="I5" s="787"/>
      <c r="J5" s="787"/>
      <c r="K5" s="788"/>
      <c r="L5" s="16" t="str">
        <f>IF(AND(OR('General Information'!E122="Option A (Basic Module only)", 'General Information'!E122="Option B (Basic Module and Comprehensive Module)"), G5=""), template_label_missing_value, IF('General Information'!E122="", "", template_label_ok))</f>
        <v/>
      </c>
    </row>
    <row r="6" spans="1:13" ht="15" thickBot="1" x14ac:dyDescent="0.35"/>
    <row r="7" spans="1:13" x14ac:dyDescent="0.3">
      <c r="C7" s="643"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644"/>
      <c r="E7" s="644"/>
      <c r="F7" s="644"/>
      <c r="G7" s="644"/>
      <c r="H7" s="644"/>
      <c r="I7" s="644"/>
      <c r="J7" s="644"/>
      <c r="K7" s="645"/>
    </row>
    <row r="8" spans="1:13" x14ac:dyDescent="0.3">
      <c r="C8" s="534">
        <v>29</v>
      </c>
      <c r="D8" s="535"/>
      <c r="E8" s="535"/>
      <c r="F8" s="535"/>
      <c r="G8" s="535"/>
      <c r="H8" s="535"/>
      <c r="I8" s="535"/>
      <c r="J8" s="535"/>
      <c r="K8" s="536"/>
    </row>
    <row r="9" spans="1:13" x14ac:dyDescent="0.3">
      <c r="C9" s="750" t="s">
        <v>5643</v>
      </c>
      <c r="D9" s="751"/>
      <c r="E9" s="751"/>
      <c r="F9" s="751"/>
      <c r="G9" s="751"/>
      <c r="H9" s="751"/>
      <c r="I9" s="751"/>
      <c r="J9" s="751"/>
      <c r="K9" s="752"/>
    </row>
    <row r="10" spans="1:13" x14ac:dyDescent="0.3">
      <c r="C10" s="733" t="str">
        <f>template_label_has_the_undertaking_obtained_the_necessary_information_to_provide_an_energy_consumption_breakdown</f>
        <v>Has the undertaking obtained the necessary information to provide an energy consumption breakdown?</v>
      </c>
      <c r="D10" s="734"/>
      <c r="E10" s="734"/>
      <c r="F10" s="734"/>
      <c r="G10" s="672" t="b">
        <v>0</v>
      </c>
      <c r="H10" s="672"/>
      <c r="I10" s="672"/>
      <c r="J10" s="672"/>
      <c r="K10" s="673"/>
    </row>
    <row r="11" spans="1:13" ht="38.700000000000003" customHeight="1" x14ac:dyDescent="0.3">
      <c r="C11" s="802"/>
      <c r="D11" s="803"/>
      <c r="E11" s="803"/>
      <c r="F11" s="803"/>
      <c r="G11" s="784" t="str">
        <f>template_label_renewable</f>
        <v>Renewable</v>
      </c>
      <c r="H11" s="785"/>
      <c r="I11" s="785"/>
      <c r="J11" s="102" t="str">
        <f>template_label_non_renewable</f>
        <v>Non-renewable</v>
      </c>
      <c r="K11" s="103" t="str">
        <f>template_label_total_renewable_and_nonrenewable</f>
        <v>Total renewable and non-renewable</v>
      </c>
      <c r="L11" s="16"/>
    </row>
    <row r="12" spans="1:13" x14ac:dyDescent="0.3">
      <c r="C12" s="772" t="str">
        <f>template_label_electricity</f>
        <v>Electricity (as reflected in utility billings)</v>
      </c>
      <c r="D12" s="773"/>
      <c r="E12" s="773"/>
      <c r="F12" s="774"/>
      <c r="G12" s="778"/>
      <c r="H12" s="779"/>
      <c r="I12" s="780"/>
      <c r="J12" s="260"/>
      <c r="K12" s="297" t="str">
        <f>IF(AND(G12="",J12=""),"-",SUM(G12:J12))</f>
        <v>-</v>
      </c>
      <c r="L12" s="701" t="str" cm="1">
        <f t="array" ref="L12">IF(G10=TRUE,
    IF(SUMPRODUCT(--(G12:J14&lt;&gt;"-"), --(G12:J14&lt;&gt;""))&gt;0,
        IF(SUM(G12:J14) &gt; TotalEnergyConsumption, template_label_value_inconsistency, template_label_ok),
        template_label_missing_value),
"")</f>
        <v/>
      </c>
    </row>
    <row r="13" spans="1:13" x14ac:dyDescent="0.3">
      <c r="C13" s="775" t="str">
        <f>template_label_selfgenerated_electricity</f>
        <v>Self-generated electricity</v>
      </c>
      <c r="D13" s="776"/>
      <c r="E13" s="776"/>
      <c r="F13" s="777"/>
      <c r="G13" s="778"/>
      <c r="H13" s="779"/>
      <c r="I13" s="780"/>
      <c r="J13" s="260"/>
      <c r="K13" s="297" t="str">
        <f>IF(AND(G13="",J13=""),"-",SUM(G13:J13))</f>
        <v>-</v>
      </c>
      <c r="L13" s="701"/>
    </row>
    <row r="14" spans="1:13" ht="15" thickBot="1" x14ac:dyDescent="0.35">
      <c r="C14" s="804" t="str">
        <f>template_label_fuels</f>
        <v>Fuels (see Fuel Converter on Fuels worksheet)</v>
      </c>
      <c r="D14" s="805"/>
      <c r="E14" s="805"/>
      <c r="F14" s="806"/>
      <c r="G14" s="781" t="str">
        <f>IF('Fuel Converter'!D23=TRUE, 'Fuel Converter'!A32, "-")</f>
        <v>-</v>
      </c>
      <c r="H14" s="782"/>
      <c r="I14" s="783"/>
      <c r="J14" s="261" t="str">
        <f>IF('Fuel Converter'!D23=TRUE, 'Fuel Converter'!B32, "-")</f>
        <v>-</v>
      </c>
      <c r="K14" s="298" t="str">
        <f>IF(AND(G14="-",J14="-"),"-",SUM(G14:J14))</f>
        <v>-</v>
      </c>
      <c r="L14" s="701"/>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60" t="str">
        <f>template_label_b3_estimated_greenhouse_gas_emissions&amp; " "&amp;template_label_always_to_be_reported</f>
        <v>B3 - Estimated Greenhouse Gas Emissions considering the GHG Protocol Version 2004 (in tCO2e) [Always to be reported]</v>
      </c>
      <c r="D16" s="761"/>
      <c r="E16" s="761"/>
      <c r="F16" s="762"/>
      <c r="G16" s="766" t="str">
        <f>template_label_c3_ghg_reduction_targets&amp;" "&amp;template_label_if_applicable</f>
        <v>C3 - GHG reduction targets (in tC02e) [If applicable]</v>
      </c>
      <c r="H16" s="767"/>
      <c r="I16" s="767"/>
      <c r="J16" s="767"/>
      <c r="K16" s="768"/>
    </row>
    <row r="17" spans="1:21" x14ac:dyDescent="0.3">
      <c r="C17" s="763">
        <v>30</v>
      </c>
      <c r="D17" s="764"/>
      <c r="E17" s="764"/>
      <c r="F17" s="765"/>
      <c r="G17" s="763" t="s">
        <v>3744</v>
      </c>
      <c r="H17" s="764"/>
      <c r="I17" s="764"/>
      <c r="J17" s="447" t="s">
        <v>3745</v>
      </c>
      <c r="K17" s="448" t="s">
        <v>3746</v>
      </c>
    </row>
    <row r="18" spans="1:21" ht="15" thickBot="1" x14ac:dyDescent="0.35">
      <c r="C18" s="252" t="s">
        <v>1</v>
      </c>
      <c r="D18" s="578" t="s">
        <v>5644</v>
      </c>
      <c r="E18" s="578"/>
      <c r="F18" s="705"/>
      <c r="G18" s="694" t="s">
        <v>5645</v>
      </c>
      <c r="H18" s="695"/>
      <c r="I18" s="695"/>
      <c r="J18" s="441" t="s">
        <v>5645</v>
      </c>
      <c r="K18" s="450" t="s">
        <v>5645</v>
      </c>
    </row>
    <row r="19" spans="1:21" ht="30" customHeight="1" x14ac:dyDescent="0.3">
      <c r="C19" s="807"/>
      <c r="D19" s="808"/>
      <c r="E19" s="808"/>
      <c r="F19" s="809"/>
      <c r="G19" s="732" t="str">
        <f>template_label_has_the_undertaking_has_established_ghg_emission_reduction_targets</f>
        <v>Has  the undertaking has established GHG emission reduction targets?</v>
      </c>
      <c r="H19" s="732"/>
      <c r="I19" s="732"/>
      <c r="J19" s="174" t="b">
        <v>0</v>
      </c>
      <c r="K19" s="105"/>
    </row>
    <row r="20" spans="1:21" ht="28.8" x14ac:dyDescent="0.3">
      <c r="C20" s="106"/>
      <c r="D20" s="790" t="str">
        <f>template_label_current_reporting_period</f>
        <v>Current Reporting Period</v>
      </c>
      <c r="E20" s="790"/>
      <c r="F20" s="813"/>
      <c r="G20" s="789" t="str">
        <f>template_label_base_year</f>
        <v>Base Year</v>
      </c>
      <c r="H20" s="790"/>
      <c r="I20" s="790"/>
      <c r="J20" s="6" t="str">
        <f>template_label_target_year</f>
        <v>Target Year</v>
      </c>
      <c r="K20" s="53" t="str">
        <f>template_label_percentage_reduction_from_base_year</f>
        <v>Percentage reduction from base year</v>
      </c>
    </row>
    <row r="21" spans="1:21" x14ac:dyDescent="0.3">
      <c r="A21" s="698" t="str">
        <f>template_label_GHG_calculator</f>
        <v>ℹ️ Check EFRAG website for a non-exhaustive list of GHG calculators.</v>
      </c>
      <c r="B21" s="699"/>
      <c r="C21" s="55" t="str">
        <f>template_label_year_date</f>
        <v>Year (date)</v>
      </c>
      <c r="D21" s="814" t="str">
        <f>IF('General Information'!$D$9="", "-", 'General Information'!$D$9) &amp; "  -  " &amp; IF('General Information'!$D$13="", "-", 'General Information'!$D$13)</f>
        <v>-  -  -</v>
      </c>
      <c r="E21" s="814"/>
      <c r="F21" s="815"/>
      <c r="G21" s="791"/>
      <c r="H21" s="792"/>
      <c r="I21" s="792"/>
      <c r="J21" s="144"/>
      <c r="K21" s="108"/>
      <c r="L21" s="16" t="str">
        <f>IF(AND(J19=TRUE, G21&lt;&gt;"", J21&lt;&gt;""), template_label_ok,
IF(AND(J19=TRUE, G21="", J21=""), template_label_missing_value,
IF(AND(J19=FALSE, G21="", J21=""), "",
IF(AND(J19=TRUE, OR(G21="", J21="")), template_label_missing_value, ""))))</f>
        <v/>
      </c>
    </row>
    <row r="22" spans="1:21" x14ac:dyDescent="0.3">
      <c r="A22" s="698"/>
      <c r="B22" s="699"/>
      <c r="C22" s="4" t="str">
        <f>template_label_gross_scope_1_ghg_emissions</f>
        <v>Gross Scope 1 GHG Emissions</v>
      </c>
      <c r="D22" s="724"/>
      <c r="E22" s="724"/>
      <c r="F22" s="725"/>
      <c r="G22" s="780"/>
      <c r="H22" s="793"/>
      <c r="I22" s="793"/>
      <c r="J22" s="260"/>
      <c r="K22" s="109"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698"/>
      <c r="B23" s="699"/>
      <c r="C23" s="4" t="str">
        <f>template_label_gross_scope_2_location_based_ghg_emissions</f>
        <v>Gross Scope 2 location-based GHG Emissions</v>
      </c>
      <c r="D23" s="747"/>
      <c r="E23" s="748"/>
      <c r="F23" s="749"/>
      <c r="G23" s="780"/>
      <c r="H23" s="793"/>
      <c r="I23" s="793"/>
      <c r="J23" s="260"/>
      <c r="K23" s="109"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698"/>
      <c r="B24" s="699"/>
      <c r="C24" s="4" t="str">
        <f>template_label_gross_scope_2_market_based_ghg_emissions &amp; " - " &amp; template_label_may_not_headline</f>
        <v>Gross scope 2 market-based GHG Emissions - May (optional)</v>
      </c>
      <c r="D24" s="724"/>
      <c r="E24" s="724"/>
      <c r="F24" s="725"/>
      <c r="G24" s="780"/>
      <c r="H24" s="793"/>
      <c r="I24" s="793"/>
      <c r="J24" s="260"/>
      <c r="K24" s="109" t="str">
        <f t="shared" si="0"/>
        <v>-</v>
      </c>
      <c r="L24" s="16" t="str">
        <f>IF(D24&lt;&gt;"",
    IF(AND(G24="", J24=""), template_label_ok,
       IF(AND(G24&lt;&gt;"", J24=""), template_label_missing_value, template_label_ok)
    ),
"")</f>
        <v/>
      </c>
    </row>
    <row r="25" spans="1:21" x14ac:dyDescent="0.3">
      <c r="A25" s="698"/>
      <c r="B25" s="699"/>
      <c r="C25" s="13" t="str">
        <f>template_label_total_scope_1_and_scope_2_ghg_emissions_location_based</f>
        <v>Total Scope 1 and Scope 2 GHG Emissions (location-based)</v>
      </c>
      <c r="D25" s="727" t="str">
        <f>IF(AND(D22="",D23=""),"-",SUM(D22,D23))</f>
        <v>-</v>
      </c>
      <c r="E25" s="727"/>
      <c r="F25" s="728"/>
      <c r="G25" s="890" t="str">
        <f>IF(AND(G22="",G23=""),"-",SUM(G22,G23))</f>
        <v>-</v>
      </c>
      <c r="H25" s="727"/>
      <c r="I25" s="727"/>
      <c r="J25" s="263" t="str">
        <f>IF(AND(J22="",J23=""),"-",SUM(J22,J23))</f>
        <v>-</v>
      </c>
      <c r="K25" s="109" t="str">
        <f t="shared" si="0"/>
        <v>-</v>
      </c>
    </row>
    <row r="26" spans="1:21" ht="15" thickBot="1" x14ac:dyDescent="0.35">
      <c r="A26" s="698"/>
      <c r="B26" s="699"/>
      <c r="C26" s="5" t="str">
        <f>template_label_total_scope_1_and_scope_2_ghg_emissions_market_based &amp; " - " &amp; template_label_may_not_headline</f>
        <v>Total Scope 1 and Scope 2 GHG emissions  (market-based) - May (optional)</v>
      </c>
      <c r="D26" s="729" t="str">
        <f>IF(OR(D22="",D24=""),"-",SUM(D22,D24))</f>
        <v>-</v>
      </c>
      <c r="E26" s="730"/>
      <c r="F26" s="731"/>
      <c r="G26" s="730" t="str">
        <f>IF(OR(G22="",G24=""),"-",SUM(G22,G24))</f>
        <v>-</v>
      </c>
      <c r="H26" s="730"/>
      <c r="I26" s="849"/>
      <c r="J26" s="264" t="str">
        <f>IF(OR(J22="",J24=""),"-",SUM(J22,J24))</f>
        <v>-</v>
      </c>
      <c r="K26" s="109" t="str">
        <f t="shared" si="0"/>
        <v>-</v>
      </c>
    </row>
    <row r="27" spans="1:21" x14ac:dyDescent="0.3">
      <c r="C27" s="866" t="s">
        <v>3747</v>
      </c>
      <c r="D27" s="794"/>
      <c r="E27" s="794"/>
      <c r="F27" s="794"/>
      <c r="G27" s="794">
        <v>54</v>
      </c>
      <c r="H27" s="794"/>
      <c r="I27" s="794"/>
      <c r="J27" s="794"/>
      <c r="K27" s="110"/>
    </row>
    <row r="28" spans="1:21" ht="15" thickBot="1" x14ac:dyDescent="0.35">
      <c r="C28" s="252" t="s">
        <v>1</v>
      </c>
      <c r="D28" s="578" t="s">
        <v>5646</v>
      </c>
      <c r="E28" s="578"/>
      <c r="F28" s="578"/>
      <c r="G28" s="798" t="s">
        <v>1</v>
      </c>
      <c r="H28" s="798"/>
      <c r="I28" s="798"/>
      <c r="J28" s="253" t="s">
        <v>1</v>
      </c>
      <c r="K28" s="111"/>
    </row>
    <row r="29" spans="1:21" ht="22.2" customHeight="1" x14ac:dyDescent="0.3">
      <c r="C29" s="810" t="str">
        <f>template_label_is_the_undertaking_disclosing_entity_specific_information_on_scope_3_emissions</f>
        <v>Is the undertaking disclosing entity-specific information on Scope 3 emissions (in tCO2e)?</v>
      </c>
      <c r="D29" s="811"/>
      <c r="E29" s="811"/>
      <c r="F29" s="812"/>
      <c r="G29" s="795" t="b">
        <v>0</v>
      </c>
      <c r="H29" s="796"/>
      <c r="I29" s="796"/>
      <c r="J29" s="796"/>
      <c r="K29" s="797"/>
    </row>
    <row r="30" spans="1:21" ht="14.55" customHeight="1" x14ac:dyDescent="0.3">
      <c r="C30" s="101" t="str">
        <f>template_label_1_purchased_goods_and_services</f>
        <v>1. Purchased Goods and Services</v>
      </c>
      <c r="D30" s="721"/>
      <c r="E30" s="722"/>
      <c r="F30" s="723"/>
      <c r="G30" s="717"/>
      <c r="H30" s="683"/>
      <c r="I30" s="683"/>
      <c r="J30" s="265"/>
      <c r="K30" s="292" t="str">
        <f>IF(OR(G30="", J30=""), "-", IFERROR(-(1 - (J30 / G30)), "-"))</f>
        <v>-</v>
      </c>
      <c r="L30" s="718" t="str" cm="1">
        <f t="array" ref="L30">IF(
   OR(
      SUMPRODUCT((G30:G44&lt;&gt;"")*(J30:J44="")) &gt; 0,
      SUMPRODUCT((J30:J44&lt;&gt;"")*(G30:G44="")) &gt; 0
   ),
   template_label_missing_value,
   IF(
      AND(G29=TRUE, COUNTA(D30:F44)=0),
      template_label_missing_value,
      IF(G29=FALSE, "", template_label_ok)
   )
)</f>
        <v/>
      </c>
      <c r="M30" s="700"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700"/>
      <c r="O30" s="700"/>
      <c r="P30" s="700"/>
      <c r="Q30" s="700"/>
      <c r="R30" s="700"/>
      <c r="S30" s="700"/>
      <c r="T30" s="700"/>
      <c r="U30" s="700"/>
    </row>
    <row r="31" spans="1:21" x14ac:dyDescent="0.3">
      <c r="C31" s="101" t="str">
        <f>template_label_2_capital_goods</f>
        <v>2. Capital Goods</v>
      </c>
      <c r="D31" s="721"/>
      <c r="E31" s="722"/>
      <c r="F31" s="723"/>
      <c r="G31" s="717"/>
      <c r="H31" s="683"/>
      <c r="I31" s="683"/>
      <c r="J31" s="265"/>
      <c r="K31" s="292" t="str">
        <f t="shared" ref="K31:K44" si="1">IF(OR(G31="", J31=""), "-", IFERROR(-(1 - (J31 / G31)), "-"))</f>
        <v>-</v>
      </c>
      <c r="L31" s="718"/>
      <c r="M31" s="700"/>
      <c r="N31" s="700"/>
      <c r="O31" s="700"/>
      <c r="P31" s="700"/>
      <c r="Q31" s="700"/>
      <c r="R31" s="700"/>
      <c r="S31" s="700"/>
      <c r="T31" s="700"/>
      <c r="U31" s="700"/>
    </row>
    <row r="32" spans="1:21" x14ac:dyDescent="0.3">
      <c r="C32" s="101" t="str">
        <f>template_label_3_fuel__and_energy_related_activities</f>
        <v>3. Fuel- and Energy-Related Activities (Not Included in Scope 1 or Scope 2)</v>
      </c>
      <c r="D32" s="721"/>
      <c r="E32" s="722"/>
      <c r="F32" s="723"/>
      <c r="G32" s="717"/>
      <c r="H32" s="683"/>
      <c r="I32" s="683"/>
      <c r="J32" s="265"/>
      <c r="K32" s="292" t="str">
        <f t="shared" si="1"/>
        <v>-</v>
      </c>
      <c r="L32" s="718"/>
      <c r="M32" s="700"/>
      <c r="N32" s="700"/>
      <c r="O32" s="700"/>
      <c r="P32" s="700"/>
      <c r="Q32" s="700"/>
      <c r="R32" s="700"/>
      <c r="S32" s="700"/>
      <c r="T32" s="700"/>
      <c r="U32" s="700"/>
    </row>
    <row r="33" spans="3:21" x14ac:dyDescent="0.3">
      <c r="C33" s="101" t="str">
        <f>template_label_4_upstream_transportation_and_distribution</f>
        <v>4. Upstream Transportation and Distribution</v>
      </c>
      <c r="D33" s="721"/>
      <c r="E33" s="722"/>
      <c r="F33" s="723"/>
      <c r="G33" s="717"/>
      <c r="H33" s="683"/>
      <c r="I33" s="683"/>
      <c r="J33" s="265"/>
      <c r="K33" s="292" t="str">
        <f t="shared" si="1"/>
        <v>-</v>
      </c>
      <c r="L33" s="718"/>
      <c r="M33" s="700"/>
      <c r="N33" s="700"/>
      <c r="O33" s="700"/>
      <c r="P33" s="700"/>
      <c r="Q33" s="700"/>
      <c r="R33" s="700"/>
      <c r="S33" s="700"/>
      <c r="T33" s="700"/>
      <c r="U33" s="700"/>
    </row>
    <row r="34" spans="3:21" x14ac:dyDescent="0.3">
      <c r="C34" s="101" t="str">
        <f>template_label_5_waste_generated_in_operations</f>
        <v>5. Waste Generated in Operations</v>
      </c>
      <c r="D34" s="721"/>
      <c r="E34" s="722"/>
      <c r="F34" s="723"/>
      <c r="G34" s="717"/>
      <c r="H34" s="683"/>
      <c r="I34" s="683"/>
      <c r="J34" s="265"/>
      <c r="K34" s="292" t="str">
        <f t="shared" si="1"/>
        <v>-</v>
      </c>
      <c r="L34" s="718"/>
      <c r="M34" s="700"/>
      <c r="N34" s="700"/>
      <c r="O34" s="700"/>
      <c r="P34" s="700"/>
      <c r="Q34" s="700"/>
      <c r="R34" s="700"/>
      <c r="S34" s="700"/>
      <c r="T34" s="700"/>
      <c r="U34" s="700"/>
    </row>
    <row r="35" spans="3:21" x14ac:dyDescent="0.3">
      <c r="C35" s="101" t="str">
        <f>template_label_6_business_travel</f>
        <v>6. Business Travel</v>
      </c>
      <c r="D35" s="721"/>
      <c r="E35" s="722"/>
      <c r="F35" s="723"/>
      <c r="G35" s="717"/>
      <c r="H35" s="683"/>
      <c r="I35" s="683"/>
      <c r="J35" s="265"/>
      <c r="K35" s="292" t="str">
        <f t="shared" si="1"/>
        <v>-</v>
      </c>
      <c r="L35" s="718"/>
      <c r="M35" s="700"/>
      <c r="N35" s="700"/>
      <c r="O35" s="700"/>
      <c r="P35" s="700"/>
      <c r="Q35" s="700"/>
      <c r="R35" s="700"/>
      <c r="S35" s="700"/>
      <c r="T35" s="700"/>
      <c r="U35" s="700"/>
    </row>
    <row r="36" spans="3:21" x14ac:dyDescent="0.3">
      <c r="C36" s="101" t="str">
        <f>template_label_7_employee_commuting</f>
        <v>7. Employee Commuting</v>
      </c>
      <c r="D36" s="721"/>
      <c r="E36" s="722"/>
      <c r="F36" s="723"/>
      <c r="G36" s="717"/>
      <c r="H36" s="683"/>
      <c r="I36" s="683"/>
      <c r="J36" s="265"/>
      <c r="K36" s="292" t="str">
        <f t="shared" si="1"/>
        <v>-</v>
      </c>
      <c r="L36" s="718"/>
      <c r="M36" s="700"/>
      <c r="N36" s="700"/>
      <c r="O36" s="700"/>
      <c r="P36" s="700"/>
      <c r="Q36" s="700"/>
      <c r="R36" s="700"/>
      <c r="S36" s="700"/>
      <c r="T36" s="700"/>
      <c r="U36" s="700"/>
    </row>
    <row r="37" spans="3:21" x14ac:dyDescent="0.3">
      <c r="C37" s="101" t="str">
        <f>template_label_8_upstream_leased_assets</f>
        <v>8. Upstream Leased Assets</v>
      </c>
      <c r="D37" s="721"/>
      <c r="E37" s="722"/>
      <c r="F37" s="723"/>
      <c r="G37" s="717"/>
      <c r="H37" s="683"/>
      <c r="I37" s="683"/>
      <c r="J37" s="265"/>
      <c r="K37" s="292" t="str">
        <f t="shared" si="1"/>
        <v>-</v>
      </c>
      <c r="L37" s="718"/>
      <c r="M37" s="700"/>
      <c r="N37" s="700"/>
      <c r="O37" s="700"/>
      <c r="P37" s="700"/>
      <c r="Q37" s="700"/>
      <c r="R37" s="700"/>
      <c r="S37" s="700"/>
      <c r="T37" s="700"/>
      <c r="U37" s="700"/>
    </row>
    <row r="38" spans="3:21" x14ac:dyDescent="0.3">
      <c r="C38" s="101" t="str">
        <f>template_label_9_downstream_transportation_and_distribution</f>
        <v>9. Downstream Transportation and Distribution</v>
      </c>
      <c r="D38" s="721"/>
      <c r="E38" s="722"/>
      <c r="F38" s="723"/>
      <c r="G38" s="717"/>
      <c r="H38" s="683"/>
      <c r="I38" s="683"/>
      <c r="J38" s="265"/>
      <c r="K38" s="292" t="str">
        <f t="shared" si="1"/>
        <v>-</v>
      </c>
      <c r="L38" s="718"/>
      <c r="M38" s="700"/>
      <c r="N38" s="700"/>
      <c r="O38" s="700"/>
      <c r="P38" s="700"/>
      <c r="Q38" s="700"/>
      <c r="R38" s="700"/>
      <c r="S38" s="700"/>
      <c r="T38" s="700"/>
      <c r="U38" s="700"/>
    </row>
    <row r="39" spans="3:21" x14ac:dyDescent="0.3">
      <c r="C39" s="101" t="str">
        <f>template_label_10_processing_of_sold_products</f>
        <v>10. Processing of Sold Products</v>
      </c>
      <c r="D39" s="721"/>
      <c r="E39" s="722"/>
      <c r="F39" s="723"/>
      <c r="G39" s="717"/>
      <c r="H39" s="683"/>
      <c r="I39" s="683"/>
      <c r="J39" s="265"/>
      <c r="K39" s="292" t="str">
        <f t="shared" si="1"/>
        <v>-</v>
      </c>
      <c r="L39" s="718"/>
      <c r="M39" s="700"/>
      <c r="N39" s="700"/>
      <c r="O39" s="700"/>
      <c r="P39" s="700"/>
      <c r="Q39" s="700"/>
      <c r="R39" s="700"/>
      <c r="S39" s="700"/>
      <c r="T39" s="700"/>
      <c r="U39" s="700"/>
    </row>
    <row r="40" spans="3:21" x14ac:dyDescent="0.3">
      <c r="C40" s="101" t="str">
        <f>template_label_11_use_of_sold_products</f>
        <v>11. Use of Sold Products</v>
      </c>
      <c r="D40" s="721"/>
      <c r="E40" s="722"/>
      <c r="F40" s="723"/>
      <c r="G40" s="717"/>
      <c r="H40" s="683"/>
      <c r="I40" s="683"/>
      <c r="J40" s="265"/>
      <c r="K40" s="292" t="str">
        <f t="shared" si="1"/>
        <v>-</v>
      </c>
      <c r="L40" s="718"/>
      <c r="M40" s="700"/>
      <c r="N40" s="700"/>
      <c r="O40" s="700"/>
      <c r="P40" s="700"/>
      <c r="Q40" s="700"/>
      <c r="R40" s="700"/>
      <c r="S40" s="700"/>
      <c r="T40" s="700"/>
      <c r="U40" s="700"/>
    </row>
    <row r="41" spans="3:21" x14ac:dyDescent="0.3">
      <c r="C41" s="101" t="str">
        <f>template_label_12_end_of_life_treatment_of_sold_products</f>
        <v>12. End-of-Life Treatment of Sold Products</v>
      </c>
      <c r="D41" s="721"/>
      <c r="E41" s="722"/>
      <c r="F41" s="723"/>
      <c r="G41" s="717"/>
      <c r="H41" s="683"/>
      <c r="I41" s="683"/>
      <c r="J41" s="265"/>
      <c r="K41" s="292" t="str">
        <f t="shared" si="1"/>
        <v>-</v>
      </c>
      <c r="L41" s="718"/>
      <c r="M41" s="700"/>
      <c r="N41" s="700"/>
      <c r="O41" s="700"/>
      <c r="P41" s="700"/>
      <c r="Q41" s="700"/>
      <c r="R41" s="700"/>
      <c r="S41" s="700"/>
      <c r="T41" s="700"/>
      <c r="U41" s="700"/>
    </row>
    <row r="42" spans="3:21" x14ac:dyDescent="0.3">
      <c r="C42" s="101" t="str">
        <f>template_label_13_downstream_leased_assets</f>
        <v>13. Downstream Leased Assets</v>
      </c>
      <c r="D42" s="721"/>
      <c r="E42" s="722"/>
      <c r="F42" s="723"/>
      <c r="G42" s="717"/>
      <c r="H42" s="683"/>
      <c r="I42" s="683"/>
      <c r="J42" s="265"/>
      <c r="K42" s="292" t="str">
        <f t="shared" si="1"/>
        <v>-</v>
      </c>
      <c r="L42" s="718"/>
      <c r="M42" s="700"/>
      <c r="N42" s="700"/>
      <c r="O42" s="700"/>
      <c r="P42" s="700"/>
      <c r="Q42" s="700"/>
      <c r="R42" s="700"/>
      <c r="S42" s="700"/>
      <c r="T42" s="700"/>
      <c r="U42" s="700"/>
    </row>
    <row r="43" spans="3:21" x14ac:dyDescent="0.3">
      <c r="C43" s="101" t="str">
        <f>template_label_14_franchises</f>
        <v>14. Franchises</v>
      </c>
      <c r="D43" s="721"/>
      <c r="E43" s="722"/>
      <c r="F43" s="723"/>
      <c r="G43" s="717"/>
      <c r="H43" s="683"/>
      <c r="I43" s="683"/>
      <c r="J43" s="265"/>
      <c r="K43" s="292" t="str">
        <f t="shared" si="1"/>
        <v>-</v>
      </c>
      <c r="L43" s="718"/>
      <c r="M43" s="700"/>
      <c r="N43" s="700"/>
      <c r="O43" s="700"/>
      <c r="P43" s="700"/>
      <c r="Q43" s="700"/>
      <c r="R43" s="700"/>
      <c r="S43" s="700"/>
      <c r="T43" s="700"/>
      <c r="U43" s="700"/>
    </row>
    <row r="44" spans="3:21" x14ac:dyDescent="0.3">
      <c r="C44" s="101" t="str">
        <f>template_label_15_investments</f>
        <v>15. Investments</v>
      </c>
      <c r="D44" s="721"/>
      <c r="E44" s="722"/>
      <c r="F44" s="723"/>
      <c r="G44" s="717"/>
      <c r="H44" s="683"/>
      <c r="I44" s="683"/>
      <c r="J44" s="265"/>
      <c r="K44" s="292" t="str">
        <f t="shared" si="1"/>
        <v>-</v>
      </c>
      <c r="L44" s="718"/>
      <c r="M44" s="700"/>
      <c r="N44" s="700"/>
      <c r="O44" s="700"/>
      <c r="P44" s="700"/>
      <c r="Q44" s="700"/>
      <c r="R44" s="700"/>
      <c r="S44" s="700"/>
      <c r="T44" s="700"/>
      <c r="U44" s="700"/>
    </row>
    <row r="45" spans="3:21" ht="15" thickBot="1" x14ac:dyDescent="0.35">
      <c r="C45" s="112" t="str">
        <f>template_label_total_scope_3_ghg_emissions</f>
        <v>Total Scope 3 GHG  emissions</v>
      </c>
      <c r="D45" s="720" t="str">
        <f>IF(AND(G29=FALSE, COUNTA(D30:F44)=0), "-", IF(G29=TRUE, IF(SUM(D30:F44)=0, "-", SUM(D30:F44)), "-"))</f>
        <v>-</v>
      </c>
      <c r="E45" s="720"/>
      <c r="F45" s="726"/>
      <c r="G45" s="719" t="str">
        <f>IF(AND(G29=FALSE, COUNTA(G30:I44)=0), "-", IF(G29=TRUE, IF(SUM(G30:I44)=0, "-", SUM(G30:I44)), "-"))</f>
        <v>-</v>
      </c>
      <c r="H45" s="720"/>
      <c r="I45" s="720"/>
      <c r="J45" s="266" t="str">
        <f>IF(AND(G29=FALSE, COUNTA(J30:J44)=0), "-", IF(G29=TRUE, IF(SUM(J30:J44)=0, "-", SUM(J30:J44)), "-"))</f>
        <v>-</v>
      </c>
      <c r="K45" s="229" t="str">
        <f t="shared" ref="K45:K47" si="2">IF(AND(G45="", J45=""), "-", IFERROR(-(1 - (J45 / G45)), "-"))</f>
        <v>-</v>
      </c>
      <c r="L45" s="16"/>
      <c r="M45" s="700"/>
      <c r="N45" s="700"/>
      <c r="O45" s="700"/>
      <c r="P45" s="700"/>
      <c r="Q45" s="700"/>
      <c r="R45" s="700"/>
      <c r="S45" s="700"/>
      <c r="T45" s="700"/>
      <c r="U45" s="700"/>
    </row>
    <row r="46" spans="3:21" x14ac:dyDescent="0.3">
      <c r="C46" s="13" t="str">
        <f>template_label_total_scope_1_scope_2_and_scope_3_ghg_emissions_location_based</f>
        <v>Total Scope 1 Scope 2 and Scope 3 GHG Emissions (location-based)</v>
      </c>
      <c r="D46" s="727" t="str">
        <f>IF(G29=FALSE, "-", IF(AND(D22="", D23="", D45=""), "-", IF(SUM(D22, D23, D45)=0, "-", SUM(D22, D23, D45))))</f>
        <v>-</v>
      </c>
      <c r="E46" s="727"/>
      <c r="F46" s="728"/>
      <c r="G46" s="847" t="str">
        <f>IF(G29=FALSE, "-", IF(AND(G22="", G23="", G45=""), "-", IF(SUM(G22, G23, G45)=0, "-", SUM(G22, G23, G45))))</f>
        <v>-</v>
      </c>
      <c r="H46" s="727"/>
      <c r="I46" s="727"/>
      <c r="J46" s="262" t="str">
        <f>IF(G29=FALSE, "-", IF(AND(J22="", J23="", J45=""), "-", IF(SUM(J22, J23, J45)=0, "-", SUM(J22, J23, J45))))</f>
        <v>-</v>
      </c>
      <c r="K46" s="230" t="str">
        <f t="shared" si="2"/>
        <v>-</v>
      </c>
      <c r="M46" s="455"/>
      <c r="N46" s="455"/>
      <c r="O46" s="455"/>
      <c r="P46" s="455"/>
      <c r="Q46" s="455"/>
      <c r="R46" s="455"/>
      <c r="S46" s="455"/>
      <c r="T46" s="455"/>
    </row>
    <row r="47" spans="3:21" ht="15" thickBot="1" x14ac:dyDescent="0.35">
      <c r="C47" s="113" t="str">
        <f>template_label_total_scope_1_scope_2_and_scope_3_ghg_emissions_market_based &amp; " - " &amp; template_label_may_not_headline</f>
        <v>Total Scope 1 Scope 2 and Scope 3 GHG Emissions (market-based) - May (optional)</v>
      </c>
      <c r="D47" s="729" t="str">
        <f>IF(G29=FALSE,"-",IF(OR(D22="",D24="",D45=""),"-",SUM(D22,D24,D45)))</f>
        <v>-</v>
      </c>
      <c r="E47" s="730"/>
      <c r="F47" s="731"/>
      <c r="G47" s="848" t="str">
        <f>IF(G29=FALSE, "-", IF(OR(G22="", G24="", G45=""), "-", IF(SUM(G22, G24, G45)=0, "-", SUM(G22, G24, G45))))</f>
        <v>-</v>
      </c>
      <c r="H47" s="730"/>
      <c r="I47" s="849"/>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758"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58"/>
      <c r="E49" s="758"/>
      <c r="F49" s="758"/>
      <c r="G49" s="758"/>
      <c r="H49" s="758"/>
      <c r="I49" s="758"/>
      <c r="J49" s="758"/>
      <c r="K49" s="899"/>
      <c r="L49" s="8"/>
    </row>
    <row r="50" spans="1:12" x14ac:dyDescent="0.3">
      <c r="C50" s="534" t="s">
        <v>3748</v>
      </c>
      <c r="D50" s="534"/>
      <c r="E50" s="534"/>
      <c r="F50" s="534"/>
      <c r="G50" s="534"/>
      <c r="H50" s="534"/>
      <c r="I50" s="534"/>
      <c r="J50" s="534"/>
      <c r="K50" s="898"/>
    </row>
    <row r="51" spans="1:12" x14ac:dyDescent="0.3">
      <c r="C51" s="750">
        <v>159</v>
      </c>
      <c r="D51" s="750"/>
      <c r="E51" s="750"/>
      <c r="F51" s="750"/>
      <c r="G51" s="750"/>
      <c r="H51" s="750"/>
      <c r="I51" s="750"/>
      <c r="J51" s="750"/>
      <c r="K51" s="750"/>
      <c r="L51" s="8"/>
    </row>
    <row r="52" spans="1:12" ht="15" thickBot="1" x14ac:dyDescent="0.35">
      <c r="C52" s="896"/>
      <c r="D52" s="896"/>
      <c r="E52" s="896"/>
      <c r="F52" s="896"/>
      <c r="G52" s="896"/>
      <c r="H52" s="896"/>
      <c r="I52" s="896"/>
      <c r="J52" s="896"/>
      <c r="K52" s="897"/>
      <c r="L52" s="104"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5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758"/>
      <c r="E55" s="758"/>
      <c r="F55" s="758"/>
      <c r="G55" s="758"/>
      <c r="H55" s="758"/>
      <c r="I55" s="758"/>
      <c r="J55" s="758"/>
      <c r="K55" s="759"/>
    </row>
    <row r="56" spans="1:12" ht="38.4" customHeight="1" x14ac:dyDescent="0.3">
      <c r="A56" s="441">
        <v>55</v>
      </c>
      <c r="B56" s="444" t="s">
        <v>5647</v>
      </c>
      <c r="C56" s="101" t="str">
        <f>template_label_is_the_undertaking_operating_in_high_impact_sectors</f>
        <v>Is the undertaking operating in high impact sectors?</v>
      </c>
      <c r="D56" s="855"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0</v>
      </c>
      <c r="E56" s="856"/>
      <c r="F56" s="856"/>
      <c r="G56" s="856"/>
      <c r="H56" s="856"/>
      <c r="I56" s="856"/>
      <c r="J56" s="856"/>
      <c r="K56" s="857"/>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891"/>
      <c r="E57" s="892"/>
      <c r="F57" s="892"/>
      <c r="G57" s="892"/>
      <c r="H57" s="892"/>
      <c r="I57" s="892"/>
      <c r="J57" s="892"/>
      <c r="K57" s="893"/>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94"/>
      <c r="E58" s="894"/>
      <c r="F58" s="894"/>
      <c r="G58" s="894"/>
      <c r="H58" s="894"/>
      <c r="I58" s="894"/>
      <c r="J58" s="894"/>
      <c r="K58" s="895"/>
      <c r="L58" s="16" t="str">
        <f>IF(AND(D57="A transition plan has already been adopted", DescriptionOfATransitionPlanForClimateChangeMitigationIncludingAnExplanationOfHowItIsContributingToReduceGhgEmissions&lt;&gt;""), template_label_ok, "")</f>
        <v/>
      </c>
    </row>
    <row r="59" spans="1:12" x14ac:dyDescent="0.3">
      <c r="A59" s="702">
        <v>56</v>
      </c>
      <c r="B59" s="705" t="s">
        <v>5647</v>
      </c>
      <c r="C59" s="708" t="str">
        <f>template_label_date_of_foreseen_adoption_of_transition_plan_for_undertaking_not_having_adopted_transition_plan_yet</f>
        <v>Date of foreseen adoption of transition plan for undertaking not having adopted transition plan yet</v>
      </c>
      <c r="D59" s="711" t="str">
        <f>template_label_year</f>
        <v>Year</v>
      </c>
      <c r="E59" s="712"/>
      <c r="F59" s="712"/>
      <c r="G59" s="712"/>
      <c r="H59" s="713"/>
      <c r="I59" s="714"/>
      <c r="J59" s="715"/>
      <c r="K59" s="716"/>
      <c r="L59" s="701"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703"/>
      <c r="B60" s="706"/>
      <c r="C60" s="709"/>
      <c r="D60" s="711" t="str">
        <f>template_label_month</f>
        <v>Month</v>
      </c>
      <c r="E60" s="712"/>
      <c r="F60" s="712"/>
      <c r="G60" s="712"/>
      <c r="H60" s="713"/>
      <c r="I60" s="714"/>
      <c r="J60" s="715"/>
      <c r="K60" s="716"/>
      <c r="L60" s="701"/>
    </row>
    <row r="61" spans="1:12" x14ac:dyDescent="0.3">
      <c r="A61" s="703"/>
      <c r="B61" s="706"/>
      <c r="C61" s="709"/>
      <c r="D61" s="711" t="str">
        <f>template_label_day</f>
        <v>Day</v>
      </c>
      <c r="E61" s="712"/>
      <c r="F61" s="712"/>
      <c r="G61" s="712"/>
      <c r="H61" s="713"/>
      <c r="I61" s="714"/>
      <c r="J61" s="715"/>
      <c r="K61" s="716"/>
      <c r="L61" s="701"/>
    </row>
    <row r="62" spans="1:12" ht="15" thickBot="1" x14ac:dyDescent="0.35">
      <c r="A62" s="704"/>
      <c r="B62" s="707"/>
      <c r="C62" s="710"/>
      <c r="D62" s="853" t="str">
        <f>IF(OR(ISBLANK(I59), ISBLANK(I60), ISBLANK(I61)), "-", I59 &amp; "-" &amp; TEXT(I60, "00") &amp; "-" &amp; TEXT(I61, "00"))</f>
        <v>-</v>
      </c>
      <c r="E62" s="853"/>
      <c r="F62" s="853"/>
      <c r="G62" s="853"/>
      <c r="H62" s="853"/>
      <c r="I62" s="853"/>
      <c r="J62" s="853"/>
      <c r="K62" s="854"/>
      <c r="L62" s="381"/>
    </row>
    <row r="63" spans="1:12" ht="15" thickBot="1" x14ac:dyDescent="0.35"/>
    <row r="64" spans="1:12" ht="14.85" customHeight="1" x14ac:dyDescent="0.3">
      <c r="C64" s="604"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604"/>
      <c r="E64" s="604"/>
      <c r="F64" s="604"/>
      <c r="G64" s="604"/>
      <c r="H64" s="604"/>
      <c r="I64" s="604"/>
      <c r="J64" s="604"/>
      <c r="K64" s="757"/>
    </row>
    <row r="65" spans="3:12" ht="14.85" customHeight="1" x14ac:dyDescent="0.3">
      <c r="C65" s="755">
        <v>31</v>
      </c>
      <c r="D65" s="755"/>
      <c r="E65" s="755"/>
      <c r="F65" s="755"/>
      <c r="G65" s="755"/>
      <c r="H65" s="755"/>
      <c r="I65" s="755"/>
      <c r="J65" s="755"/>
      <c r="K65" s="756"/>
    </row>
    <row r="66" spans="3:12" x14ac:dyDescent="0.3">
      <c r="C66" s="630" t="str">
        <f>template_label_scope_1_and_scope_2_ghg_emissions_intensity_location_based</f>
        <v>Scope 1 and Scope 2 GHG Emissions intensity (location-based)</v>
      </c>
      <c r="D66" s="631"/>
      <c r="E66" s="631"/>
      <c r="F66" s="631"/>
      <c r="G66" s="753" t="str">
        <f>IF(G29=TRUE,
   "-",
   IFERROR(
      IF(OR(D25="", Turnover=""), "-", D25/Turnover),
      "-"
   )
)</f>
        <v>-</v>
      </c>
      <c r="H66" s="753"/>
      <c r="I66" s="753"/>
      <c r="J66" s="753"/>
      <c r="K66" s="754"/>
    </row>
    <row r="67" spans="3:12" x14ac:dyDescent="0.3">
      <c r="C67" s="708" t="str">
        <f>template_label_scope_1_and_scope_2_ghg_emissions_intensity_market_based &amp; " - " &amp; template_label_may_not_headline</f>
        <v>Scope 1 and Scope 2 GHG Emissions intensity (market-based) - May (optional)</v>
      </c>
      <c r="D67" s="850"/>
      <c r="E67" s="850"/>
      <c r="F67" s="850"/>
      <c r="G67" s="851" t="str">
        <f>IF(G29=TRUE,
   "-",
   IFERROR(
      IF(OR(D26="", Turnover=""), "-", D26/Turnover),
      "-"
   )
)</f>
        <v>-</v>
      </c>
      <c r="H67" s="851"/>
      <c r="I67" s="851"/>
      <c r="J67" s="851"/>
      <c r="K67" s="852"/>
    </row>
    <row r="68" spans="3:12" x14ac:dyDescent="0.3">
      <c r="C68" s="630" t="str">
        <f>template_label_total_scope_1_scope_2_and_scope_3_ghg_emissions_intensity_location_based</f>
        <v>Total Scope 1 Scope 2 and Scope 3 GHG Emissions intensity (location-based)</v>
      </c>
      <c r="D68" s="631"/>
      <c r="E68" s="631"/>
      <c r="F68" s="816"/>
      <c r="G68" s="900" t="str">
        <f>IF(G29=FALSE,
   "-",
   IFERROR(
      IF(OR(D46="", Turnover=""), "-", D46/Turnover),
      "-"
   )
)</f>
        <v>-</v>
      </c>
      <c r="H68" s="901"/>
      <c r="I68" s="901"/>
      <c r="J68" s="901"/>
      <c r="K68" s="902"/>
    </row>
    <row r="69" spans="3:12" ht="15" thickBot="1" x14ac:dyDescent="0.35">
      <c r="C69" s="570" t="str">
        <f>template_label_total_scope_1_scope_2_and_scope_3_ghg_emissions_intensity_market_based &amp; " - " &amp; template_label_may_not_headline</f>
        <v>Total Scope 1 Scope 2 and Scope 3 GHG Emissions intensity (market-based) - May (optional)</v>
      </c>
      <c r="D69" s="571"/>
      <c r="E69" s="571"/>
      <c r="F69" s="817"/>
      <c r="G69" s="861" t="str">
        <f>IF(G29=FALSE,
   "-",
   IFERROR(
      IF(OR(D47="", Turnover=""), "-", D47/Turnover),
      "-"
   )
)</f>
        <v>-</v>
      </c>
      <c r="H69" s="862"/>
      <c r="I69" s="862"/>
      <c r="J69" s="862"/>
      <c r="K69" s="863"/>
      <c r="L69" s="8"/>
    </row>
    <row r="70" spans="3:12" ht="15" thickBot="1" x14ac:dyDescent="0.35"/>
    <row r="71" spans="3:12" x14ac:dyDescent="0.3">
      <c r="C71" s="760"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761"/>
      <c r="E71" s="761"/>
      <c r="F71" s="761"/>
      <c r="G71" s="761"/>
      <c r="H71" s="761"/>
      <c r="I71" s="761"/>
      <c r="J71" s="761"/>
      <c r="K71" s="762"/>
    </row>
    <row r="72" spans="3:12" x14ac:dyDescent="0.3">
      <c r="C72" s="763">
        <v>32</v>
      </c>
      <c r="D72" s="764"/>
      <c r="E72" s="764"/>
      <c r="F72" s="764"/>
      <c r="G72" s="764"/>
      <c r="H72" s="764"/>
      <c r="I72" s="764"/>
      <c r="J72" s="764"/>
      <c r="K72" s="765"/>
    </row>
    <row r="73" spans="3:12" x14ac:dyDescent="0.3">
      <c r="C73" s="694" t="s">
        <v>5648</v>
      </c>
      <c r="D73" s="695"/>
      <c r="E73" s="695"/>
      <c r="F73" s="695"/>
      <c r="G73" s="695"/>
      <c r="H73" s="695"/>
      <c r="I73" s="695"/>
      <c r="J73" s="695"/>
      <c r="K73" s="696"/>
    </row>
    <row r="74" spans="3:12" ht="30" customHeight="1" x14ac:dyDescent="0.3">
      <c r="C74" s="656"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32"/>
      <c r="E74" s="832"/>
      <c r="F74" s="657"/>
      <c r="G74" s="858" t="b">
        <v>0</v>
      </c>
      <c r="H74" s="859"/>
      <c r="I74" s="859"/>
      <c r="J74" s="859"/>
      <c r="K74" s="860"/>
      <c r="L74" s="16"/>
    </row>
    <row r="75" spans="3:12" x14ac:dyDescent="0.3">
      <c r="C75" s="630" t="str">
        <f>template_label_is_this_disclosure_already_publicly_available</f>
        <v>Is this disclosure already publicly available?</v>
      </c>
      <c r="D75" s="631"/>
      <c r="E75" s="631"/>
      <c r="F75" s="631"/>
      <c r="G75" s="844" t="b">
        <v>0</v>
      </c>
      <c r="H75" s="844"/>
      <c r="I75" s="844"/>
      <c r="J75" s="844"/>
      <c r="K75" s="845"/>
      <c r="L75" s="16" t="str" cm="1">
        <f t="array" ref="L75">IF(AND(G75=TRUE, D80:K179=""),
    template_label_ok,
    IF(AND(OR(D80:K179&lt;&gt;""), G75=TRUE),
       template_label_value_inconsistency,
       ""
    )
)</f>
        <v/>
      </c>
    </row>
    <row r="76" spans="3:12" x14ac:dyDescent="0.3">
      <c r="C76" s="630" t="str">
        <f>template_label_please_provide_the_relevant_url_link_or_hyperlink_of_where_this_information_is_reported</f>
        <v>Please provide the relevant URL link or hyperlink of where this information is reported</v>
      </c>
      <c r="D76" s="631"/>
      <c r="E76" s="631"/>
      <c r="F76" s="631"/>
      <c r="G76" s="864"/>
      <c r="H76" s="697"/>
      <c r="I76" s="697"/>
      <c r="J76" s="697"/>
      <c r="K76" s="865"/>
      <c r="L76" s="16" t="str">
        <f>IF(G75=TRUE,
   IF(G76="",
      template_label_missing_value,
      IF(OR(LEFT(G76,7)="http://", LEFT(G76,8)="https://", LEFT(G76,4)="www."),
         template_label_ok,
         template_label_invalid_url
      )
   ),
"")</f>
        <v/>
      </c>
    </row>
    <row r="77" spans="3:12" x14ac:dyDescent="0.3">
      <c r="C77" s="838" t="str">
        <f>template_label_please_select_the_unit_used_for_reporting_the_amount</f>
        <v>Please select the unit used for reporting the amount (i.e. either kg or tonne)</v>
      </c>
      <c r="D77" s="839"/>
      <c r="E77" s="839"/>
      <c r="F77" s="839"/>
      <c r="G77" s="839"/>
      <c r="H77" s="839"/>
      <c r="I77" s="839"/>
      <c r="J77" s="839"/>
      <c r="K77" s="840"/>
    </row>
    <row r="78" spans="3:12" x14ac:dyDescent="0.3">
      <c r="C78" s="841"/>
      <c r="D78" s="842"/>
      <c r="E78" s="842"/>
      <c r="F78" s="842"/>
      <c r="G78" s="842"/>
      <c r="H78" s="842"/>
      <c r="I78" s="842"/>
      <c r="J78" s="842"/>
      <c r="K78" s="843"/>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spans="3:12" x14ac:dyDescent="0.3">
      <c r="C79" s="117" t="str">
        <f>template_label_row_id</f>
        <v>Row ID</v>
      </c>
      <c r="D79" s="790" t="str">
        <f>template_label_pollutant</f>
        <v>Pollutant</v>
      </c>
      <c r="E79" s="790"/>
      <c r="F79" s="790"/>
      <c r="G79" s="790" t="str">
        <f>template_label_emission_to_air</f>
        <v>Emission to air</v>
      </c>
      <c r="H79" s="790"/>
      <c r="I79" s="790"/>
      <c r="J79" s="6" t="str">
        <f>template_label_emission_to_water</f>
        <v>Emission to water</v>
      </c>
      <c r="K79" s="107" t="str">
        <f>template_label_emission_to_soil</f>
        <v>Emission to soil</v>
      </c>
    </row>
    <row r="80" spans="3:12" x14ac:dyDescent="0.3">
      <c r="C80" s="231">
        <v>1</v>
      </c>
      <c r="D80" s="697"/>
      <c r="E80" s="697"/>
      <c r="F80" s="697"/>
      <c r="G80" s="721"/>
      <c r="H80" s="722"/>
      <c r="I80" s="741"/>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x14ac:dyDescent="0.3">
      <c r="C81" s="231">
        <v>2</v>
      </c>
      <c r="D81" s="697"/>
      <c r="E81" s="697"/>
      <c r="F81" s="697"/>
      <c r="G81" s="721"/>
      <c r="H81" s="722"/>
      <c r="I81" s="741"/>
      <c r="J81" s="265"/>
      <c r="K81" s="26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33">
        <v>3</v>
      </c>
      <c r="D82" s="746"/>
      <c r="E82" s="746"/>
      <c r="F82" s="746"/>
      <c r="G82" s="742"/>
      <c r="H82" s="743"/>
      <c r="I82" s="744"/>
      <c r="J82" s="268"/>
      <c r="K82" s="26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46"/>
      <c r="E83" s="846"/>
      <c r="F83" s="846"/>
      <c r="G83" s="745"/>
      <c r="H83" s="745"/>
      <c r="I83" s="745"/>
      <c r="J83" s="270"/>
      <c r="K83" s="271"/>
      <c r="L83" s="16" t="str">
        <f t="shared" si="3"/>
        <v/>
      </c>
    </row>
    <row r="84" spans="3:13" hidden="1" outlineLevel="1" x14ac:dyDescent="0.3">
      <c r="C84" s="231">
        <v>5</v>
      </c>
      <c r="D84" s="697"/>
      <c r="E84" s="697"/>
      <c r="F84" s="697"/>
      <c r="G84" s="683"/>
      <c r="H84" s="683"/>
      <c r="I84" s="683"/>
      <c r="J84" s="265"/>
      <c r="K84" s="267"/>
      <c r="L84" s="16" t="str">
        <f t="shared" si="3"/>
        <v/>
      </c>
    </row>
    <row r="85" spans="3:13" hidden="1" outlineLevel="1" x14ac:dyDescent="0.3">
      <c r="C85" s="231">
        <v>6</v>
      </c>
      <c r="D85" s="697"/>
      <c r="E85" s="697"/>
      <c r="F85" s="697"/>
      <c r="G85" s="683"/>
      <c r="H85" s="683"/>
      <c r="I85" s="683"/>
      <c r="J85" s="265"/>
      <c r="K85" s="267"/>
      <c r="L85" s="16" t="str">
        <f t="shared" si="3"/>
        <v/>
      </c>
    </row>
    <row r="86" spans="3:13" hidden="1" outlineLevel="1" x14ac:dyDescent="0.3">
      <c r="C86" s="231">
        <v>7</v>
      </c>
      <c r="D86" s="697"/>
      <c r="E86" s="697"/>
      <c r="F86" s="697"/>
      <c r="G86" s="683"/>
      <c r="H86" s="683"/>
      <c r="I86" s="683"/>
      <c r="J86" s="265"/>
      <c r="K86" s="267"/>
      <c r="L86" s="16" t="str">
        <f t="shared" si="3"/>
        <v/>
      </c>
    </row>
    <row r="87" spans="3:13" hidden="1" outlineLevel="1" x14ac:dyDescent="0.3">
      <c r="C87" s="231">
        <v>8</v>
      </c>
      <c r="D87" s="697"/>
      <c r="E87" s="697"/>
      <c r="F87" s="697"/>
      <c r="G87" s="683"/>
      <c r="H87" s="683"/>
      <c r="I87" s="683"/>
      <c r="J87" s="265"/>
      <c r="K87" s="267"/>
      <c r="L87" s="16" t="str">
        <f t="shared" si="3"/>
        <v/>
      </c>
    </row>
    <row r="88" spans="3:13" hidden="1" outlineLevel="1" x14ac:dyDescent="0.3">
      <c r="C88" s="231">
        <v>9</v>
      </c>
      <c r="D88" s="697"/>
      <c r="E88" s="697"/>
      <c r="F88" s="697"/>
      <c r="G88" s="683"/>
      <c r="H88" s="683"/>
      <c r="I88" s="683"/>
      <c r="J88" s="265"/>
      <c r="K88" s="267"/>
      <c r="L88" s="16" t="str">
        <f t="shared" si="3"/>
        <v/>
      </c>
    </row>
    <row r="89" spans="3:13" hidden="1" outlineLevel="1" x14ac:dyDescent="0.3">
      <c r="C89" s="231">
        <v>10</v>
      </c>
      <c r="D89" s="697"/>
      <c r="E89" s="697"/>
      <c r="F89" s="697"/>
      <c r="G89" s="683"/>
      <c r="H89" s="683"/>
      <c r="I89" s="683"/>
      <c r="J89" s="265"/>
      <c r="K89" s="267"/>
      <c r="L89" s="16" t="str">
        <f t="shared" si="3"/>
        <v/>
      </c>
    </row>
    <row r="90" spans="3:13" hidden="1" outlineLevel="1" x14ac:dyDescent="0.3">
      <c r="C90" s="231">
        <v>11</v>
      </c>
      <c r="D90" s="697"/>
      <c r="E90" s="697"/>
      <c r="F90" s="697"/>
      <c r="G90" s="683"/>
      <c r="H90" s="683"/>
      <c r="I90" s="683"/>
      <c r="J90" s="265"/>
      <c r="K90" s="267"/>
      <c r="L90" s="16" t="str">
        <f t="shared" si="3"/>
        <v/>
      </c>
    </row>
    <row r="91" spans="3:13" hidden="1" outlineLevel="1" x14ac:dyDescent="0.3">
      <c r="C91" s="231">
        <v>12</v>
      </c>
      <c r="D91" s="697"/>
      <c r="E91" s="697"/>
      <c r="F91" s="697"/>
      <c r="G91" s="683"/>
      <c r="H91" s="683"/>
      <c r="I91" s="683"/>
      <c r="J91" s="265"/>
      <c r="K91" s="267"/>
      <c r="L91" s="16" t="str">
        <f t="shared" si="3"/>
        <v/>
      </c>
    </row>
    <row r="92" spans="3:13" hidden="1" outlineLevel="1" x14ac:dyDescent="0.3">
      <c r="C92" s="231">
        <v>13</v>
      </c>
      <c r="D92" s="697"/>
      <c r="E92" s="697"/>
      <c r="F92" s="697"/>
      <c r="G92" s="683"/>
      <c r="H92" s="683"/>
      <c r="I92" s="683"/>
      <c r="J92" s="265"/>
      <c r="K92" s="267"/>
      <c r="L92" s="16" t="str">
        <f t="shared" si="3"/>
        <v/>
      </c>
    </row>
    <row r="93" spans="3:13" hidden="1" outlineLevel="1" x14ac:dyDescent="0.3">
      <c r="C93" s="231">
        <v>14</v>
      </c>
      <c r="D93" s="697"/>
      <c r="E93" s="697"/>
      <c r="F93" s="697"/>
      <c r="G93" s="683"/>
      <c r="H93" s="683"/>
      <c r="I93" s="683"/>
      <c r="J93" s="265"/>
      <c r="K93" s="267"/>
      <c r="L93" s="16" t="str">
        <f t="shared" si="3"/>
        <v/>
      </c>
    </row>
    <row r="94" spans="3:13" hidden="1" outlineLevel="1" x14ac:dyDescent="0.3">
      <c r="C94" s="231">
        <v>15</v>
      </c>
      <c r="D94" s="697"/>
      <c r="E94" s="697"/>
      <c r="F94" s="697"/>
      <c r="G94" s="683"/>
      <c r="H94" s="683"/>
      <c r="I94" s="683"/>
      <c r="J94" s="265"/>
      <c r="K94" s="267"/>
      <c r="L94" s="16" t="str">
        <f t="shared" si="3"/>
        <v/>
      </c>
    </row>
    <row r="95" spans="3:13" hidden="1" outlineLevel="1" x14ac:dyDescent="0.3">
      <c r="C95" s="231">
        <v>16</v>
      </c>
      <c r="D95" s="697"/>
      <c r="E95" s="697"/>
      <c r="F95" s="697"/>
      <c r="G95" s="683"/>
      <c r="H95" s="683"/>
      <c r="I95" s="683"/>
      <c r="J95" s="265"/>
      <c r="K95" s="267"/>
      <c r="L95" s="16" t="str">
        <f t="shared" si="3"/>
        <v/>
      </c>
    </row>
    <row r="96" spans="3:13" hidden="1" outlineLevel="1" x14ac:dyDescent="0.3">
      <c r="C96" s="231">
        <v>17</v>
      </c>
      <c r="D96" s="697"/>
      <c r="E96" s="697"/>
      <c r="F96" s="697"/>
      <c r="G96" s="683"/>
      <c r="H96" s="683"/>
      <c r="I96" s="683"/>
      <c r="J96" s="265"/>
      <c r="K96" s="267"/>
      <c r="L96" s="16" t="str">
        <f t="shared" si="3"/>
        <v/>
      </c>
    </row>
    <row r="97" spans="3:13" hidden="1" outlineLevel="1" x14ac:dyDescent="0.3">
      <c r="C97" s="231">
        <v>18</v>
      </c>
      <c r="D97" s="697"/>
      <c r="E97" s="697"/>
      <c r="F97" s="697"/>
      <c r="G97" s="683"/>
      <c r="H97" s="683"/>
      <c r="I97" s="683"/>
      <c r="J97" s="265"/>
      <c r="K97" s="267"/>
      <c r="L97" s="16" t="str">
        <f t="shared" si="3"/>
        <v/>
      </c>
    </row>
    <row r="98" spans="3:13" hidden="1" outlineLevel="1" x14ac:dyDescent="0.3">
      <c r="C98" s="231">
        <v>19</v>
      </c>
      <c r="D98" s="697"/>
      <c r="E98" s="697"/>
      <c r="F98" s="697"/>
      <c r="G98" s="683"/>
      <c r="H98" s="683"/>
      <c r="I98" s="683"/>
      <c r="J98" s="265"/>
      <c r="K98" s="267"/>
      <c r="L98" s="16" t="str">
        <f t="shared" si="3"/>
        <v/>
      </c>
    </row>
    <row r="99" spans="3:13" hidden="1" outlineLevel="1" x14ac:dyDescent="0.3">
      <c r="C99" s="231">
        <v>20</v>
      </c>
      <c r="D99" s="697"/>
      <c r="E99" s="697"/>
      <c r="F99" s="697"/>
      <c r="G99" s="683"/>
      <c r="H99" s="683"/>
      <c r="I99" s="683"/>
      <c r="J99" s="265"/>
      <c r="K99" s="267"/>
      <c r="L99" s="16" t="str">
        <f t="shared" si="3"/>
        <v/>
      </c>
    </row>
    <row r="100" spans="3:13" hidden="1" outlineLevel="1" x14ac:dyDescent="0.3">
      <c r="C100" s="231">
        <v>21</v>
      </c>
      <c r="D100" s="697"/>
      <c r="E100" s="697"/>
      <c r="F100" s="697"/>
      <c r="G100" s="683"/>
      <c r="H100" s="683"/>
      <c r="I100" s="683"/>
      <c r="J100" s="265"/>
      <c r="K100" s="267"/>
      <c r="L100" s="16" t="str">
        <f t="shared" si="3"/>
        <v/>
      </c>
    </row>
    <row r="101" spans="3:13" hidden="1" outlineLevel="1" x14ac:dyDescent="0.3">
      <c r="C101" s="231">
        <v>22</v>
      </c>
      <c r="D101" s="697"/>
      <c r="E101" s="697"/>
      <c r="F101" s="697"/>
      <c r="G101" s="683"/>
      <c r="H101" s="683"/>
      <c r="I101" s="683"/>
      <c r="J101" s="265"/>
      <c r="K101" s="267"/>
      <c r="L101" s="16" t="str">
        <f t="shared" si="3"/>
        <v/>
      </c>
    </row>
    <row r="102" spans="3:13" hidden="1" outlineLevel="1" x14ac:dyDescent="0.3">
      <c r="C102" s="231">
        <v>23</v>
      </c>
      <c r="D102" s="697"/>
      <c r="E102" s="697"/>
      <c r="F102" s="697"/>
      <c r="G102" s="683"/>
      <c r="H102" s="683"/>
      <c r="I102" s="683"/>
      <c r="J102" s="265"/>
      <c r="K102" s="267"/>
      <c r="L102" s="16" t="str">
        <f t="shared" si="3"/>
        <v/>
      </c>
    </row>
    <row r="103" spans="3:13" hidden="1" outlineLevel="1" x14ac:dyDescent="0.3">
      <c r="C103" s="231">
        <v>24</v>
      </c>
      <c r="D103" s="697"/>
      <c r="E103" s="697"/>
      <c r="F103" s="697"/>
      <c r="G103" s="683"/>
      <c r="H103" s="683"/>
      <c r="I103" s="683"/>
      <c r="J103" s="265"/>
      <c r="K103" s="267"/>
      <c r="L103" s="16" t="str">
        <f t="shared" si="3"/>
        <v/>
      </c>
    </row>
    <row r="104" spans="3:13" hidden="1" outlineLevel="1" x14ac:dyDescent="0.3">
      <c r="C104" s="231">
        <v>25</v>
      </c>
      <c r="D104" s="697"/>
      <c r="E104" s="697"/>
      <c r="F104" s="697"/>
      <c r="G104" s="683"/>
      <c r="H104" s="683"/>
      <c r="I104" s="683"/>
      <c r="J104" s="265"/>
      <c r="K104" s="267"/>
      <c r="L104" s="16" t="str">
        <f t="shared" si="3"/>
        <v/>
      </c>
    </row>
    <row r="105" spans="3:13" hidden="1" outlineLevel="1" x14ac:dyDescent="0.3">
      <c r="C105" s="231">
        <v>26</v>
      </c>
      <c r="D105" s="697"/>
      <c r="E105" s="697"/>
      <c r="F105" s="697"/>
      <c r="G105" s="683"/>
      <c r="H105" s="683"/>
      <c r="I105" s="683"/>
      <c r="J105" s="265"/>
      <c r="K105" s="267"/>
      <c r="L105" s="16" t="str">
        <f t="shared" si="3"/>
        <v/>
      </c>
    </row>
    <row r="106" spans="3:13" hidden="1" outlineLevel="1" x14ac:dyDescent="0.3">
      <c r="C106" s="231">
        <v>27</v>
      </c>
      <c r="D106" s="697"/>
      <c r="E106" s="697"/>
      <c r="F106" s="697"/>
      <c r="G106" s="683"/>
      <c r="H106" s="683"/>
      <c r="I106" s="683"/>
      <c r="J106" s="265"/>
      <c r="K106" s="267"/>
      <c r="L106" s="16" t="str">
        <f t="shared" si="3"/>
        <v/>
      </c>
    </row>
    <row r="107" spans="3:13" hidden="1" outlineLevel="1" x14ac:dyDescent="0.3">
      <c r="C107" s="231">
        <v>28</v>
      </c>
      <c r="D107" s="697"/>
      <c r="E107" s="697"/>
      <c r="F107" s="697"/>
      <c r="G107" s="683"/>
      <c r="H107" s="683"/>
      <c r="I107" s="683"/>
      <c r="J107" s="265"/>
      <c r="K107" s="267"/>
      <c r="L107" s="16" t="str">
        <f t="shared" si="3"/>
        <v/>
      </c>
    </row>
    <row r="108" spans="3:13" hidden="1" outlineLevel="1" x14ac:dyDescent="0.3">
      <c r="C108" s="231">
        <v>29</v>
      </c>
      <c r="D108" s="697"/>
      <c r="E108" s="697"/>
      <c r="F108" s="697"/>
      <c r="G108" s="683"/>
      <c r="H108" s="683"/>
      <c r="I108" s="683"/>
      <c r="J108" s="265"/>
      <c r="K108" s="267"/>
      <c r="L108" s="16" t="str">
        <f t="shared" si="3"/>
        <v/>
      </c>
      <c r="M108" s="118"/>
    </row>
    <row r="109" spans="3:13" hidden="1" outlineLevel="1" x14ac:dyDescent="0.3">
      <c r="C109" s="231">
        <v>30</v>
      </c>
      <c r="D109" s="697"/>
      <c r="E109" s="697"/>
      <c r="F109" s="697"/>
      <c r="G109" s="683"/>
      <c r="H109" s="683"/>
      <c r="I109" s="683"/>
      <c r="J109" s="265"/>
      <c r="K109" s="267"/>
      <c r="L109" s="16" t="str">
        <f t="shared" si="3"/>
        <v/>
      </c>
    </row>
    <row r="110" spans="3:13" hidden="1" outlineLevel="1" x14ac:dyDescent="0.3">
      <c r="C110" s="231">
        <v>31</v>
      </c>
      <c r="D110" s="697"/>
      <c r="E110" s="697"/>
      <c r="F110" s="697"/>
      <c r="G110" s="683"/>
      <c r="H110" s="683"/>
      <c r="I110" s="683"/>
      <c r="J110" s="265"/>
      <c r="K110" s="267"/>
      <c r="L110" s="16" t="str">
        <f t="shared" si="3"/>
        <v/>
      </c>
    </row>
    <row r="111" spans="3:13" hidden="1" outlineLevel="1" x14ac:dyDescent="0.3">
      <c r="C111" s="231">
        <v>32</v>
      </c>
      <c r="D111" s="697"/>
      <c r="E111" s="697"/>
      <c r="F111" s="697"/>
      <c r="G111" s="683"/>
      <c r="H111" s="683"/>
      <c r="I111" s="683"/>
      <c r="J111" s="265"/>
      <c r="K111" s="267"/>
      <c r="L111" s="16" t="str">
        <f t="shared" si="3"/>
        <v/>
      </c>
    </row>
    <row r="112" spans="3:13" hidden="1" outlineLevel="1" x14ac:dyDescent="0.3">
      <c r="C112" s="231">
        <v>33</v>
      </c>
      <c r="D112" s="697"/>
      <c r="E112" s="697"/>
      <c r="F112" s="697"/>
      <c r="G112" s="683"/>
      <c r="H112" s="683"/>
      <c r="I112" s="683"/>
      <c r="J112" s="265"/>
      <c r="K112" s="267"/>
      <c r="L112" s="16" t="str">
        <f t="shared" si="3"/>
        <v/>
      </c>
    </row>
    <row r="113" spans="3:12" hidden="1" outlineLevel="1" x14ac:dyDescent="0.3">
      <c r="C113" s="231">
        <v>34</v>
      </c>
      <c r="D113" s="697"/>
      <c r="E113" s="697"/>
      <c r="F113" s="697"/>
      <c r="G113" s="683"/>
      <c r="H113" s="683"/>
      <c r="I113" s="683"/>
      <c r="J113" s="265"/>
      <c r="K113" s="267"/>
      <c r="L113" s="16" t="str">
        <f t="shared" si="3"/>
        <v/>
      </c>
    </row>
    <row r="114" spans="3:12" hidden="1" outlineLevel="1" x14ac:dyDescent="0.3">
      <c r="C114" s="231">
        <v>35</v>
      </c>
      <c r="D114" s="697"/>
      <c r="E114" s="697"/>
      <c r="F114" s="697"/>
      <c r="G114" s="683"/>
      <c r="H114" s="683"/>
      <c r="I114" s="683"/>
      <c r="J114" s="265"/>
      <c r="K114" s="267"/>
      <c r="L114" s="16" t="str">
        <f t="shared" si="3"/>
        <v/>
      </c>
    </row>
    <row r="115" spans="3:12" hidden="1" outlineLevel="1" x14ac:dyDescent="0.3">
      <c r="C115" s="231">
        <v>36</v>
      </c>
      <c r="D115" s="697"/>
      <c r="E115" s="697"/>
      <c r="F115" s="697"/>
      <c r="G115" s="683"/>
      <c r="H115" s="683"/>
      <c r="I115" s="683"/>
      <c r="J115" s="265"/>
      <c r="K115" s="267"/>
      <c r="L115" s="16" t="str">
        <f t="shared" si="3"/>
        <v/>
      </c>
    </row>
    <row r="116" spans="3:12" hidden="1" outlineLevel="1" x14ac:dyDescent="0.3">
      <c r="C116" s="231">
        <v>37</v>
      </c>
      <c r="D116" s="697"/>
      <c r="E116" s="697"/>
      <c r="F116" s="697"/>
      <c r="G116" s="683"/>
      <c r="H116" s="683"/>
      <c r="I116" s="683"/>
      <c r="J116" s="265"/>
      <c r="K116" s="267"/>
      <c r="L116" s="16" t="str">
        <f t="shared" si="3"/>
        <v/>
      </c>
    </row>
    <row r="117" spans="3:12" hidden="1" outlineLevel="1" x14ac:dyDescent="0.3">
      <c r="C117" s="231">
        <v>38</v>
      </c>
      <c r="D117" s="697"/>
      <c r="E117" s="697"/>
      <c r="F117" s="697"/>
      <c r="G117" s="683"/>
      <c r="H117" s="683"/>
      <c r="I117" s="683"/>
      <c r="J117" s="265"/>
      <c r="K117" s="267"/>
      <c r="L117" s="16" t="str">
        <f t="shared" si="3"/>
        <v/>
      </c>
    </row>
    <row r="118" spans="3:12" hidden="1" outlineLevel="1" x14ac:dyDescent="0.3">
      <c r="C118" s="231">
        <v>39</v>
      </c>
      <c r="D118" s="697"/>
      <c r="E118" s="697"/>
      <c r="F118" s="697"/>
      <c r="G118" s="683"/>
      <c r="H118" s="683"/>
      <c r="I118" s="683"/>
      <c r="J118" s="265"/>
      <c r="K118" s="267"/>
      <c r="L118" s="16" t="str">
        <f t="shared" si="3"/>
        <v/>
      </c>
    </row>
    <row r="119" spans="3:12" hidden="1" outlineLevel="1" x14ac:dyDescent="0.3">
      <c r="C119" s="231">
        <v>40</v>
      </c>
      <c r="D119" s="697"/>
      <c r="E119" s="697"/>
      <c r="F119" s="697"/>
      <c r="G119" s="683"/>
      <c r="H119" s="683"/>
      <c r="I119" s="683"/>
      <c r="J119" s="265"/>
      <c r="K119" s="267"/>
      <c r="L119" s="16" t="str">
        <f t="shared" si="3"/>
        <v/>
      </c>
    </row>
    <row r="120" spans="3:12" hidden="1" outlineLevel="1" x14ac:dyDescent="0.3">
      <c r="C120" s="231">
        <v>41</v>
      </c>
      <c r="D120" s="697"/>
      <c r="E120" s="697"/>
      <c r="F120" s="697"/>
      <c r="G120" s="683"/>
      <c r="H120" s="683"/>
      <c r="I120" s="683"/>
      <c r="J120" s="265"/>
      <c r="K120" s="267"/>
      <c r="L120" s="16" t="str">
        <f t="shared" si="3"/>
        <v/>
      </c>
    </row>
    <row r="121" spans="3:12" hidden="1" outlineLevel="1" x14ac:dyDescent="0.3">
      <c r="C121" s="231">
        <v>42</v>
      </c>
      <c r="D121" s="697"/>
      <c r="E121" s="697"/>
      <c r="F121" s="697"/>
      <c r="G121" s="683"/>
      <c r="H121" s="683"/>
      <c r="I121" s="683"/>
      <c r="J121" s="265"/>
      <c r="K121" s="267"/>
      <c r="L121" s="16" t="str">
        <f t="shared" si="3"/>
        <v/>
      </c>
    </row>
    <row r="122" spans="3:12" hidden="1" outlineLevel="1" x14ac:dyDescent="0.3">
      <c r="C122" s="231">
        <v>43</v>
      </c>
      <c r="D122" s="697"/>
      <c r="E122" s="697"/>
      <c r="F122" s="697"/>
      <c r="G122" s="683"/>
      <c r="H122" s="683"/>
      <c r="I122" s="683"/>
      <c r="J122" s="265"/>
      <c r="K122" s="267"/>
      <c r="L122" s="16" t="str">
        <f t="shared" si="3"/>
        <v/>
      </c>
    </row>
    <row r="123" spans="3:12" hidden="1" outlineLevel="1" x14ac:dyDescent="0.3">
      <c r="C123" s="231">
        <v>44</v>
      </c>
      <c r="D123" s="697"/>
      <c r="E123" s="697"/>
      <c r="F123" s="697"/>
      <c r="G123" s="683"/>
      <c r="H123" s="683"/>
      <c r="I123" s="683"/>
      <c r="J123" s="265"/>
      <c r="K123" s="267"/>
      <c r="L123" s="16" t="str">
        <f t="shared" si="3"/>
        <v/>
      </c>
    </row>
    <row r="124" spans="3:12" hidden="1" outlineLevel="1" x14ac:dyDescent="0.3">
      <c r="C124" s="231">
        <v>45</v>
      </c>
      <c r="D124" s="697"/>
      <c r="E124" s="697"/>
      <c r="F124" s="697"/>
      <c r="G124" s="683"/>
      <c r="H124" s="683"/>
      <c r="I124" s="683"/>
      <c r="J124" s="265"/>
      <c r="K124" s="267"/>
      <c r="L124" s="16" t="str">
        <f t="shared" si="3"/>
        <v/>
      </c>
    </row>
    <row r="125" spans="3:12" hidden="1" outlineLevel="1" x14ac:dyDescent="0.3">
      <c r="C125" s="231">
        <v>46</v>
      </c>
      <c r="D125" s="697"/>
      <c r="E125" s="697"/>
      <c r="F125" s="697"/>
      <c r="G125" s="683"/>
      <c r="H125" s="683"/>
      <c r="I125" s="683"/>
      <c r="J125" s="265"/>
      <c r="K125" s="267"/>
      <c r="L125" s="16" t="str">
        <f t="shared" si="3"/>
        <v/>
      </c>
    </row>
    <row r="126" spans="3:12" hidden="1" outlineLevel="1" x14ac:dyDescent="0.3">
      <c r="C126" s="231">
        <v>47</v>
      </c>
      <c r="D126" s="697"/>
      <c r="E126" s="697"/>
      <c r="F126" s="697"/>
      <c r="G126" s="683"/>
      <c r="H126" s="683"/>
      <c r="I126" s="683"/>
      <c r="J126" s="265"/>
      <c r="K126" s="267"/>
      <c r="L126" s="16" t="str">
        <f t="shared" si="3"/>
        <v/>
      </c>
    </row>
    <row r="127" spans="3:12" hidden="1" outlineLevel="1" x14ac:dyDescent="0.3">
      <c r="C127" s="231">
        <v>48</v>
      </c>
      <c r="D127" s="697"/>
      <c r="E127" s="697"/>
      <c r="F127" s="697"/>
      <c r="G127" s="683"/>
      <c r="H127" s="683"/>
      <c r="I127" s="683"/>
      <c r="J127" s="265"/>
      <c r="K127" s="267"/>
      <c r="L127" s="16" t="str">
        <f t="shared" si="3"/>
        <v/>
      </c>
    </row>
    <row r="128" spans="3:12" hidden="1" outlineLevel="1" x14ac:dyDescent="0.3">
      <c r="C128" s="231">
        <v>49</v>
      </c>
      <c r="D128" s="697"/>
      <c r="E128" s="697"/>
      <c r="F128" s="697"/>
      <c r="G128" s="683"/>
      <c r="H128" s="683"/>
      <c r="I128" s="683"/>
      <c r="J128" s="265"/>
      <c r="K128" s="267"/>
      <c r="L128" s="16" t="str">
        <f t="shared" si="3"/>
        <v/>
      </c>
    </row>
    <row r="129" spans="3:12" hidden="1" outlineLevel="1" x14ac:dyDescent="0.3">
      <c r="C129" s="231">
        <v>50</v>
      </c>
      <c r="D129" s="697"/>
      <c r="E129" s="697"/>
      <c r="F129" s="697"/>
      <c r="G129" s="683"/>
      <c r="H129" s="683"/>
      <c r="I129" s="683"/>
      <c r="J129" s="265"/>
      <c r="K129" s="267"/>
      <c r="L129" s="16" t="str">
        <f t="shared" si="3"/>
        <v/>
      </c>
    </row>
    <row r="130" spans="3:12" hidden="1" outlineLevel="1" x14ac:dyDescent="0.3">
      <c r="C130" s="231">
        <v>51</v>
      </c>
      <c r="D130" s="697"/>
      <c r="E130" s="697"/>
      <c r="F130" s="697"/>
      <c r="G130" s="683"/>
      <c r="H130" s="683"/>
      <c r="I130" s="683"/>
      <c r="J130" s="265"/>
      <c r="K130" s="267"/>
      <c r="L130" s="16" t="str">
        <f t="shared" si="3"/>
        <v/>
      </c>
    </row>
    <row r="131" spans="3:12" hidden="1" outlineLevel="1" x14ac:dyDescent="0.3">
      <c r="C131" s="231">
        <v>52</v>
      </c>
      <c r="D131" s="697"/>
      <c r="E131" s="697"/>
      <c r="F131" s="697"/>
      <c r="G131" s="683"/>
      <c r="H131" s="683"/>
      <c r="I131" s="683"/>
      <c r="J131" s="265"/>
      <c r="K131" s="267"/>
      <c r="L131" s="16" t="str">
        <f t="shared" si="3"/>
        <v/>
      </c>
    </row>
    <row r="132" spans="3:12" hidden="1" outlineLevel="1" x14ac:dyDescent="0.3">
      <c r="C132" s="231">
        <v>53</v>
      </c>
      <c r="D132" s="697"/>
      <c r="E132" s="697"/>
      <c r="F132" s="697"/>
      <c r="G132" s="683"/>
      <c r="H132" s="683"/>
      <c r="I132" s="683"/>
      <c r="J132" s="265"/>
      <c r="K132" s="267"/>
      <c r="L132" s="16" t="str">
        <f t="shared" si="3"/>
        <v/>
      </c>
    </row>
    <row r="133" spans="3:12" hidden="1" outlineLevel="1" x14ac:dyDescent="0.3">
      <c r="C133" s="231">
        <v>54</v>
      </c>
      <c r="D133" s="697"/>
      <c r="E133" s="697"/>
      <c r="F133" s="697"/>
      <c r="G133" s="683"/>
      <c r="H133" s="683"/>
      <c r="I133" s="683"/>
      <c r="J133" s="265"/>
      <c r="K133" s="267"/>
      <c r="L133" s="16" t="str">
        <f t="shared" si="3"/>
        <v/>
      </c>
    </row>
    <row r="134" spans="3:12" hidden="1" outlineLevel="1" x14ac:dyDescent="0.3">
      <c r="C134" s="231">
        <v>55</v>
      </c>
      <c r="D134" s="697"/>
      <c r="E134" s="697"/>
      <c r="F134" s="697"/>
      <c r="G134" s="683"/>
      <c r="H134" s="683"/>
      <c r="I134" s="683"/>
      <c r="J134" s="265"/>
      <c r="K134" s="267"/>
      <c r="L134" s="16" t="str">
        <f t="shared" si="3"/>
        <v/>
      </c>
    </row>
    <row r="135" spans="3:12" hidden="1" outlineLevel="1" x14ac:dyDescent="0.3">
      <c r="C135" s="231">
        <v>56</v>
      </c>
      <c r="D135" s="697"/>
      <c r="E135" s="697"/>
      <c r="F135" s="697"/>
      <c r="G135" s="683"/>
      <c r="H135" s="683"/>
      <c r="I135" s="683"/>
      <c r="J135" s="265"/>
      <c r="K135" s="267"/>
      <c r="L135" s="16" t="str">
        <f t="shared" si="3"/>
        <v/>
      </c>
    </row>
    <row r="136" spans="3:12" hidden="1" outlineLevel="1" x14ac:dyDescent="0.3">
      <c r="C136" s="231">
        <v>57</v>
      </c>
      <c r="D136" s="697"/>
      <c r="E136" s="697"/>
      <c r="F136" s="697"/>
      <c r="G136" s="683"/>
      <c r="H136" s="683"/>
      <c r="I136" s="683"/>
      <c r="J136" s="265"/>
      <c r="K136" s="267"/>
      <c r="L136" s="16" t="str">
        <f t="shared" si="3"/>
        <v/>
      </c>
    </row>
    <row r="137" spans="3:12" hidden="1" outlineLevel="1" x14ac:dyDescent="0.3">
      <c r="C137" s="231">
        <v>58</v>
      </c>
      <c r="D137" s="697"/>
      <c r="E137" s="697"/>
      <c r="F137" s="697"/>
      <c r="G137" s="683"/>
      <c r="H137" s="683"/>
      <c r="I137" s="683"/>
      <c r="J137" s="265"/>
      <c r="K137" s="267"/>
      <c r="L137" s="16" t="str">
        <f t="shared" si="3"/>
        <v/>
      </c>
    </row>
    <row r="138" spans="3:12" hidden="1" outlineLevel="1" x14ac:dyDescent="0.3">
      <c r="C138" s="231">
        <v>59</v>
      </c>
      <c r="D138" s="697"/>
      <c r="E138" s="697"/>
      <c r="F138" s="697"/>
      <c r="G138" s="683"/>
      <c r="H138" s="683"/>
      <c r="I138" s="683"/>
      <c r="J138" s="265"/>
      <c r="K138" s="267"/>
      <c r="L138" s="16" t="str">
        <f t="shared" si="3"/>
        <v/>
      </c>
    </row>
    <row r="139" spans="3:12" hidden="1" outlineLevel="1" x14ac:dyDescent="0.3">
      <c r="C139" s="231">
        <v>60</v>
      </c>
      <c r="D139" s="697"/>
      <c r="E139" s="697"/>
      <c r="F139" s="697"/>
      <c r="G139" s="683"/>
      <c r="H139" s="683"/>
      <c r="I139" s="683"/>
      <c r="J139" s="265"/>
      <c r="K139" s="267"/>
      <c r="L139" s="16" t="str">
        <f t="shared" si="3"/>
        <v/>
      </c>
    </row>
    <row r="140" spans="3:12" hidden="1" outlineLevel="1" x14ac:dyDescent="0.3">
      <c r="C140" s="231">
        <v>61</v>
      </c>
      <c r="D140" s="697"/>
      <c r="E140" s="697"/>
      <c r="F140" s="697"/>
      <c r="G140" s="683"/>
      <c r="H140" s="683"/>
      <c r="I140" s="683"/>
      <c r="J140" s="265"/>
      <c r="K140" s="267"/>
      <c r="L140" s="16" t="str">
        <f t="shared" si="3"/>
        <v/>
      </c>
    </row>
    <row r="141" spans="3:12" hidden="1" outlineLevel="1" x14ac:dyDescent="0.3">
      <c r="C141" s="231">
        <v>62</v>
      </c>
      <c r="D141" s="697"/>
      <c r="E141" s="697"/>
      <c r="F141" s="697"/>
      <c r="G141" s="683"/>
      <c r="H141" s="683"/>
      <c r="I141" s="683"/>
      <c r="J141" s="265"/>
      <c r="K141" s="267"/>
      <c r="L141" s="16" t="str">
        <f t="shared" si="3"/>
        <v/>
      </c>
    </row>
    <row r="142" spans="3:12" hidden="1" outlineLevel="1" x14ac:dyDescent="0.3">
      <c r="C142" s="231">
        <v>63</v>
      </c>
      <c r="D142" s="697"/>
      <c r="E142" s="697"/>
      <c r="F142" s="697"/>
      <c r="G142" s="683"/>
      <c r="H142" s="683"/>
      <c r="I142" s="683"/>
      <c r="J142" s="265"/>
      <c r="K142" s="267"/>
      <c r="L142" s="16" t="str">
        <f t="shared" si="3"/>
        <v/>
      </c>
    </row>
    <row r="143" spans="3:12" hidden="1" outlineLevel="1" x14ac:dyDescent="0.3">
      <c r="C143" s="231">
        <v>64</v>
      </c>
      <c r="D143" s="697"/>
      <c r="E143" s="697"/>
      <c r="F143" s="697"/>
      <c r="G143" s="683"/>
      <c r="H143" s="683"/>
      <c r="I143" s="683"/>
      <c r="J143" s="265"/>
      <c r="K143" s="267"/>
      <c r="L143" s="16" t="str">
        <f t="shared" si="3"/>
        <v/>
      </c>
    </row>
    <row r="144" spans="3:12" hidden="1" outlineLevel="1" x14ac:dyDescent="0.3">
      <c r="C144" s="231">
        <v>65</v>
      </c>
      <c r="D144" s="697"/>
      <c r="E144" s="697"/>
      <c r="F144" s="697"/>
      <c r="G144" s="683"/>
      <c r="H144" s="683"/>
      <c r="I144" s="683"/>
      <c r="J144" s="265"/>
      <c r="K144" s="267"/>
      <c r="L144" s="16" t="str">
        <f t="shared" si="3"/>
        <v/>
      </c>
    </row>
    <row r="145" spans="3:12" hidden="1" outlineLevel="1" x14ac:dyDescent="0.3">
      <c r="C145" s="231">
        <v>66</v>
      </c>
      <c r="D145" s="697"/>
      <c r="E145" s="697"/>
      <c r="F145" s="697"/>
      <c r="G145" s="683"/>
      <c r="H145" s="683"/>
      <c r="I145" s="683"/>
      <c r="J145" s="265"/>
      <c r="K145" s="267"/>
      <c r="L145" s="16" t="str">
        <f t="shared" si="3"/>
        <v/>
      </c>
    </row>
    <row r="146" spans="3:12" hidden="1" outlineLevel="1" x14ac:dyDescent="0.3">
      <c r="C146" s="231">
        <v>67</v>
      </c>
      <c r="D146" s="697"/>
      <c r="E146" s="697"/>
      <c r="F146" s="697"/>
      <c r="G146" s="683"/>
      <c r="H146" s="683"/>
      <c r="I146" s="683"/>
      <c r="J146" s="265"/>
      <c r="K146" s="267"/>
      <c r="L146" s="16" t="str">
        <f t="shared" si="3"/>
        <v/>
      </c>
    </row>
    <row r="147" spans="3:12" hidden="1" outlineLevel="1" x14ac:dyDescent="0.3">
      <c r="C147" s="231">
        <v>68</v>
      </c>
      <c r="D147" s="697"/>
      <c r="E147" s="697"/>
      <c r="F147" s="697"/>
      <c r="G147" s="683"/>
      <c r="H147" s="683"/>
      <c r="I147" s="683"/>
      <c r="J147" s="265"/>
      <c r="K147" s="267"/>
      <c r="L147" s="16" t="str">
        <f t="shared" si="3"/>
        <v/>
      </c>
    </row>
    <row r="148" spans="3:12" hidden="1" outlineLevel="1" x14ac:dyDescent="0.3">
      <c r="C148" s="231">
        <v>69</v>
      </c>
      <c r="D148" s="697"/>
      <c r="E148" s="697"/>
      <c r="F148" s="697"/>
      <c r="G148" s="683"/>
      <c r="H148" s="683"/>
      <c r="I148" s="683"/>
      <c r="J148" s="265"/>
      <c r="K148" s="267"/>
      <c r="L148" s="16" t="str">
        <f t="shared" si="3"/>
        <v/>
      </c>
    </row>
    <row r="149" spans="3:12" hidden="1" outlineLevel="1" x14ac:dyDescent="0.3">
      <c r="C149" s="231">
        <v>70</v>
      </c>
      <c r="D149" s="697"/>
      <c r="E149" s="697"/>
      <c r="F149" s="697"/>
      <c r="G149" s="683"/>
      <c r="H149" s="683"/>
      <c r="I149" s="683"/>
      <c r="J149" s="265"/>
      <c r="K149" s="267"/>
      <c r="L149" s="16" t="str">
        <f t="shared" si="3"/>
        <v/>
      </c>
    </row>
    <row r="150" spans="3:12" hidden="1" outlineLevel="1" x14ac:dyDescent="0.3">
      <c r="C150" s="231">
        <v>71</v>
      </c>
      <c r="D150" s="697"/>
      <c r="E150" s="697"/>
      <c r="F150" s="697"/>
      <c r="G150" s="683"/>
      <c r="H150" s="683"/>
      <c r="I150" s="683"/>
      <c r="J150" s="265"/>
      <c r="K150" s="267"/>
      <c r="L150" s="16" t="str">
        <f t="shared" si="3"/>
        <v/>
      </c>
    </row>
    <row r="151" spans="3:12" hidden="1" outlineLevel="1" x14ac:dyDescent="0.3">
      <c r="C151" s="231">
        <v>72</v>
      </c>
      <c r="D151" s="697"/>
      <c r="E151" s="697"/>
      <c r="F151" s="697"/>
      <c r="G151" s="683"/>
      <c r="H151" s="683"/>
      <c r="I151" s="683"/>
      <c r="J151" s="265"/>
      <c r="K151" s="267"/>
      <c r="L151" s="16" t="str">
        <f t="shared" si="3"/>
        <v/>
      </c>
    </row>
    <row r="152" spans="3:12" hidden="1" outlineLevel="1" x14ac:dyDescent="0.3">
      <c r="C152" s="231">
        <v>73</v>
      </c>
      <c r="D152" s="697"/>
      <c r="E152" s="697"/>
      <c r="F152" s="697"/>
      <c r="G152" s="683"/>
      <c r="H152" s="683"/>
      <c r="I152" s="683"/>
      <c r="J152" s="265"/>
      <c r="K152" s="267"/>
      <c r="L152" s="16" t="str">
        <f t="shared" si="3"/>
        <v/>
      </c>
    </row>
    <row r="153" spans="3:12" hidden="1" outlineLevel="1" x14ac:dyDescent="0.3">
      <c r="C153" s="231">
        <v>74</v>
      </c>
      <c r="D153" s="697"/>
      <c r="E153" s="697"/>
      <c r="F153" s="697"/>
      <c r="G153" s="683"/>
      <c r="H153" s="683"/>
      <c r="I153" s="683"/>
      <c r="J153" s="265"/>
      <c r="K153" s="267"/>
      <c r="L153" s="16" t="str">
        <f t="shared" si="3"/>
        <v/>
      </c>
    </row>
    <row r="154" spans="3:12" hidden="1" outlineLevel="1" x14ac:dyDescent="0.3">
      <c r="C154" s="231">
        <v>75</v>
      </c>
      <c r="D154" s="697"/>
      <c r="E154" s="697"/>
      <c r="F154" s="697"/>
      <c r="G154" s="683"/>
      <c r="H154" s="683"/>
      <c r="I154" s="683"/>
      <c r="J154" s="265"/>
      <c r="K154" s="267"/>
      <c r="L154" s="16" t="str">
        <f t="shared" si="3"/>
        <v/>
      </c>
    </row>
    <row r="155" spans="3:12" hidden="1" outlineLevel="1" x14ac:dyDescent="0.3">
      <c r="C155" s="231">
        <v>76</v>
      </c>
      <c r="D155" s="697"/>
      <c r="E155" s="697"/>
      <c r="F155" s="697"/>
      <c r="G155" s="683"/>
      <c r="H155" s="683"/>
      <c r="I155" s="683"/>
      <c r="J155" s="265"/>
      <c r="K155" s="267"/>
      <c r="L155" s="16" t="str">
        <f t="shared" si="3"/>
        <v/>
      </c>
    </row>
    <row r="156" spans="3:12" hidden="1" outlineLevel="1" x14ac:dyDescent="0.3">
      <c r="C156" s="231">
        <v>77</v>
      </c>
      <c r="D156" s="697"/>
      <c r="E156" s="697"/>
      <c r="F156" s="697"/>
      <c r="G156" s="683"/>
      <c r="H156" s="683"/>
      <c r="I156" s="683"/>
      <c r="J156" s="265"/>
      <c r="K156" s="267"/>
      <c r="L156" s="16" t="str">
        <f t="shared" si="3"/>
        <v/>
      </c>
    </row>
    <row r="157" spans="3:12" hidden="1" outlineLevel="1" x14ac:dyDescent="0.3">
      <c r="C157" s="231">
        <v>78</v>
      </c>
      <c r="D157" s="697"/>
      <c r="E157" s="697"/>
      <c r="F157" s="697"/>
      <c r="G157" s="683"/>
      <c r="H157" s="683"/>
      <c r="I157" s="683"/>
      <c r="J157" s="265"/>
      <c r="K157" s="267"/>
      <c r="L157" s="16" t="str">
        <f t="shared" si="3"/>
        <v/>
      </c>
    </row>
    <row r="158" spans="3:12" hidden="1" outlineLevel="1" x14ac:dyDescent="0.3">
      <c r="C158" s="231">
        <v>79</v>
      </c>
      <c r="D158" s="697"/>
      <c r="E158" s="697"/>
      <c r="F158" s="697"/>
      <c r="G158" s="683"/>
      <c r="H158" s="683"/>
      <c r="I158" s="683"/>
      <c r="J158" s="265"/>
      <c r="K158" s="267"/>
      <c r="L158" s="16" t="str">
        <f t="shared" si="3"/>
        <v/>
      </c>
    </row>
    <row r="159" spans="3:12" hidden="1" outlineLevel="1" x14ac:dyDescent="0.3">
      <c r="C159" s="231">
        <v>80</v>
      </c>
      <c r="D159" s="697"/>
      <c r="E159" s="697"/>
      <c r="F159" s="697"/>
      <c r="G159" s="683"/>
      <c r="H159" s="683"/>
      <c r="I159" s="683"/>
      <c r="J159" s="265"/>
      <c r="K159" s="267"/>
      <c r="L159" s="16" t="str">
        <f t="shared" si="3"/>
        <v/>
      </c>
    </row>
    <row r="160" spans="3:12" hidden="1" outlineLevel="1" x14ac:dyDescent="0.3">
      <c r="C160" s="231">
        <v>81</v>
      </c>
      <c r="D160" s="697"/>
      <c r="E160" s="697"/>
      <c r="F160" s="697"/>
      <c r="G160" s="683"/>
      <c r="H160" s="683"/>
      <c r="I160" s="683"/>
      <c r="J160" s="265"/>
      <c r="K160" s="267"/>
      <c r="L160" s="16" t="str">
        <f t="shared" si="3"/>
        <v/>
      </c>
    </row>
    <row r="161" spans="3:12" hidden="1" outlineLevel="1" x14ac:dyDescent="0.3">
      <c r="C161" s="231">
        <v>82</v>
      </c>
      <c r="D161" s="697"/>
      <c r="E161" s="697"/>
      <c r="F161" s="697"/>
      <c r="G161" s="683"/>
      <c r="H161" s="683"/>
      <c r="I161" s="683"/>
      <c r="J161" s="265"/>
      <c r="K161" s="267"/>
      <c r="L161" s="16" t="str">
        <f t="shared" si="3"/>
        <v/>
      </c>
    </row>
    <row r="162" spans="3:12" hidden="1" outlineLevel="1" x14ac:dyDescent="0.3">
      <c r="C162" s="231">
        <v>83</v>
      </c>
      <c r="D162" s="697"/>
      <c r="E162" s="697"/>
      <c r="F162" s="697"/>
      <c r="G162" s="683"/>
      <c r="H162" s="683"/>
      <c r="I162" s="683"/>
      <c r="J162" s="265"/>
      <c r="K162" s="267"/>
      <c r="L162" s="16" t="str">
        <f t="shared" si="3"/>
        <v/>
      </c>
    </row>
    <row r="163" spans="3:12" hidden="1" outlineLevel="1" x14ac:dyDescent="0.3">
      <c r="C163" s="231">
        <v>84</v>
      </c>
      <c r="D163" s="697"/>
      <c r="E163" s="697"/>
      <c r="F163" s="697"/>
      <c r="G163" s="683"/>
      <c r="H163" s="683"/>
      <c r="I163" s="683"/>
      <c r="J163" s="265"/>
      <c r="K163" s="267"/>
      <c r="L163" s="16" t="str">
        <f t="shared" si="3"/>
        <v/>
      </c>
    </row>
    <row r="164" spans="3:12" hidden="1" outlineLevel="1" x14ac:dyDescent="0.3">
      <c r="C164" s="231">
        <v>85</v>
      </c>
      <c r="D164" s="697"/>
      <c r="E164" s="697"/>
      <c r="F164" s="697"/>
      <c r="G164" s="683"/>
      <c r="H164" s="683"/>
      <c r="I164" s="683"/>
      <c r="J164" s="265"/>
      <c r="K164" s="267"/>
      <c r="L164" s="16" t="str">
        <f t="shared" si="3"/>
        <v/>
      </c>
    </row>
    <row r="165" spans="3:12" hidden="1" outlineLevel="1" x14ac:dyDescent="0.3">
      <c r="C165" s="231">
        <v>86</v>
      </c>
      <c r="D165" s="697"/>
      <c r="E165" s="697"/>
      <c r="F165" s="697"/>
      <c r="G165" s="683"/>
      <c r="H165" s="683"/>
      <c r="I165" s="683"/>
      <c r="J165" s="265"/>
      <c r="K165" s="267"/>
      <c r="L165" s="16" t="str">
        <f t="shared" si="3"/>
        <v/>
      </c>
    </row>
    <row r="166" spans="3:12" hidden="1" outlineLevel="1" x14ac:dyDescent="0.3">
      <c r="C166" s="231">
        <v>87</v>
      </c>
      <c r="D166" s="697"/>
      <c r="E166" s="697"/>
      <c r="F166" s="697"/>
      <c r="G166" s="683"/>
      <c r="H166" s="683"/>
      <c r="I166" s="683"/>
      <c r="J166" s="265"/>
      <c r="K166" s="267"/>
      <c r="L166" s="16" t="str">
        <f t="shared" si="3"/>
        <v/>
      </c>
    </row>
    <row r="167" spans="3:12" hidden="1" outlineLevel="1" x14ac:dyDescent="0.3">
      <c r="C167" s="231">
        <v>88</v>
      </c>
      <c r="D167" s="697"/>
      <c r="E167" s="697"/>
      <c r="F167" s="697"/>
      <c r="G167" s="683"/>
      <c r="H167" s="683"/>
      <c r="I167" s="683"/>
      <c r="J167" s="265"/>
      <c r="K167" s="267"/>
      <c r="L167" s="16" t="str">
        <f t="shared" si="3"/>
        <v/>
      </c>
    </row>
    <row r="168" spans="3:12" hidden="1" outlineLevel="1" x14ac:dyDescent="0.3">
      <c r="C168" s="231">
        <v>89</v>
      </c>
      <c r="D168" s="697"/>
      <c r="E168" s="697"/>
      <c r="F168" s="697"/>
      <c r="G168" s="683"/>
      <c r="H168" s="683"/>
      <c r="I168" s="683"/>
      <c r="J168" s="265"/>
      <c r="K168" s="267"/>
      <c r="L168" s="16" t="str">
        <f t="shared" si="3"/>
        <v/>
      </c>
    </row>
    <row r="169" spans="3:12" hidden="1" outlineLevel="1" x14ac:dyDescent="0.3">
      <c r="C169" s="231">
        <v>90</v>
      </c>
      <c r="D169" s="697"/>
      <c r="E169" s="697"/>
      <c r="F169" s="697"/>
      <c r="G169" s="683"/>
      <c r="H169" s="683"/>
      <c r="I169" s="683"/>
      <c r="J169" s="265"/>
      <c r="K169" s="267"/>
      <c r="L169" s="16" t="str">
        <f t="shared" si="3"/>
        <v/>
      </c>
    </row>
    <row r="170" spans="3:12" hidden="1" outlineLevel="1" x14ac:dyDescent="0.3">
      <c r="C170" s="231">
        <v>91</v>
      </c>
      <c r="D170" s="697"/>
      <c r="E170" s="697"/>
      <c r="F170" s="697"/>
      <c r="G170" s="683"/>
      <c r="H170" s="683"/>
      <c r="I170" s="683"/>
      <c r="J170" s="265"/>
      <c r="K170" s="267"/>
      <c r="L170" s="16" t="str">
        <f t="shared" si="3"/>
        <v/>
      </c>
    </row>
    <row r="171" spans="3:12" hidden="1" outlineLevel="1" x14ac:dyDescent="0.3">
      <c r="C171" s="231">
        <v>92</v>
      </c>
      <c r="D171" s="697"/>
      <c r="E171" s="697"/>
      <c r="F171" s="697"/>
      <c r="G171" s="683"/>
      <c r="H171" s="683"/>
      <c r="I171" s="683"/>
      <c r="J171" s="265"/>
      <c r="K171" s="267"/>
      <c r="L171" s="16" t="str">
        <f t="shared" si="3"/>
        <v/>
      </c>
    </row>
    <row r="172" spans="3:12" hidden="1" outlineLevel="1" x14ac:dyDescent="0.3">
      <c r="C172" s="231">
        <v>93</v>
      </c>
      <c r="D172" s="697"/>
      <c r="E172" s="697"/>
      <c r="F172" s="697"/>
      <c r="G172" s="683"/>
      <c r="H172" s="683"/>
      <c r="I172" s="683"/>
      <c r="J172" s="265"/>
      <c r="K172" s="267"/>
      <c r="L172" s="16" t="str">
        <f t="shared" si="3"/>
        <v/>
      </c>
    </row>
    <row r="173" spans="3:12" hidden="1" outlineLevel="1" x14ac:dyDescent="0.3">
      <c r="C173" s="231">
        <v>94</v>
      </c>
      <c r="D173" s="697"/>
      <c r="E173" s="697"/>
      <c r="F173" s="697"/>
      <c r="G173" s="683"/>
      <c r="H173" s="683"/>
      <c r="I173" s="683"/>
      <c r="J173" s="265"/>
      <c r="K173" s="267"/>
      <c r="L173" s="16" t="str">
        <f t="shared" si="3"/>
        <v/>
      </c>
    </row>
    <row r="174" spans="3:12" hidden="1" outlineLevel="1" x14ac:dyDescent="0.3">
      <c r="C174" s="231">
        <v>95</v>
      </c>
      <c r="D174" s="697"/>
      <c r="E174" s="697"/>
      <c r="F174" s="697"/>
      <c r="G174" s="683"/>
      <c r="H174" s="683"/>
      <c r="I174" s="683"/>
      <c r="J174" s="265"/>
      <c r="K174" s="267"/>
      <c r="L174" s="16" t="str">
        <f t="shared" si="3"/>
        <v/>
      </c>
    </row>
    <row r="175" spans="3:12" hidden="1" outlineLevel="1" x14ac:dyDescent="0.3">
      <c r="C175" s="231">
        <v>96</v>
      </c>
      <c r="D175" s="697"/>
      <c r="E175" s="697"/>
      <c r="F175" s="697"/>
      <c r="G175" s="683"/>
      <c r="H175" s="683"/>
      <c r="I175" s="683"/>
      <c r="J175" s="265"/>
      <c r="K175" s="267"/>
      <c r="L175" s="16" t="str">
        <f t="shared" si="3"/>
        <v/>
      </c>
    </row>
    <row r="176" spans="3:12" hidden="1" outlineLevel="1" x14ac:dyDescent="0.3">
      <c r="C176" s="231">
        <v>97</v>
      </c>
      <c r="D176" s="697"/>
      <c r="E176" s="697"/>
      <c r="F176" s="697"/>
      <c r="G176" s="683"/>
      <c r="H176" s="683"/>
      <c r="I176" s="683"/>
      <c r="J176" s="265"/>
      <c r="K176" s="267"/>
      <c r="L176" s="16" t="str">
        <f t="shared" si="3"/>
        <v/>
      </c>
    </row>
    <row r="177" spans="3:17" hidden="1" outlineLevel="1" x14ac:dyDescent="0.3">
      <c r="C177" s="231">
        <v>98</v>
      </c>
      <c r="D177" s="697"/>
      <c r="E177" s="697"/>
      <c r="F177" s="697"/>
      <c r="G177" s="683"/>
      <c r="H177" s="683"/>
      <c r="I177" s="683"/>
      <c r="J177" s="265"/>
      <c r="K177" s="267"/>
      <c r="L177" s="16" t="str">
        <f t="shared" si="3"/>
        <v/>
      </c>
    </row>
    <row r="178" spans="3:17" hidden="1" outlineLevel="1" x14ac:dyDescent="0.3">
      <c r="C178" s="231">
        <v>99</v>
      </c>
      <c r="D178" s="697"/>
      <c r="E178" s="697"/>
      <c r="F178" s="697"/>
      <c r="G178" s="683"/>
      <c r="H178" s="683"/>
      <c r="I178" s="683"/>
      <c r="J178" s="265"/>
      <c r="K178" s="267"/>
      <c r="L178" s="16" t="str">
        <f t="shared" si="3"/>
        <v/>
      </c>
    </row>
    <row r="179" spans="3:17" ht="15" hidden="1" outlineLevel="1" thickBot="1" x14ac:dyDescent="0.35">
      <c r="C179" s="231">
        <v>100</v>
      </c>
      <c r="D179" s="697"/>
      <c r="E179" s="697"/>
      <c r="F179" s="697"/>
      <c r="G179" s="873"/>
      <c r="H179" s="873"/>
      <c r="I179" s="873"/>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880"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880"/>
      <c r="E181" s="880"/>
      <c r="F181" s="880"/>
      <c r="G181" s="880"/>
      <c r="H181" s="880"/>
      <c r="I181" s="880"/>
      <c r="J181" s="880"/>
      <c r="K181" s="881"/>
    </row>
    <row r="182" spans="3:17" x14ac:dyDescent="0.3">
      <c r="C182" s="534">
        <v>33</v>
      </c>
      <c r="D182" s="534"/>
      <c r="E182" s="534"/>
      <c r="F182" s="534"/>
      <c r="G182" s="534"/>
      <c r="H182" s="534"/>
      <c r="I182" s="534"/>
      <c r="J182" s="534"/>
      <c r="K182" s="898"/>
    </row>
    <row r="183" spans="3:17" x14ac:dyDescent="0.3">
      <c r="C183" s="649" t="s">
        <v>5649</v>
      </c>
      <c r="D183" s="649"/>
      <c r="E183" s="649"/>
      <c r="F183" s="649"/>
      <c r="G183" s="649"/>
      <c r="H183" s="649"/>
      <c r="I183" s="649"/>
      <c r="J183" s="649"/>
      <c r="K183" s="882"/>
    </row>
    <row r="184" spans="3:17" x14ac:dyDescent="0.3">
      <c r="C184" s="733" t="str">
        <f>template_label_does_the_undertaking_have_sites_that_are_located_in_or_near_biodiversity_sensitive_areas</f>
        <v>Does the undertaking have sites that are located in or near biodiversity sensitive areas?</v>
      </c>
      <c r="D184" s="734"/>
      <c r="E184" s="734"/>
      <c r="F184" s="734"/>
      <c r="G184" s="903" t="b">
        <v>0</v>
      </c>
      <c r="H184" s="904"/>
      <c r="I184" s="904"/>
      <c r="J184" s="904"/>
      <c r="K184" s="905"/>
    </row>
    <row r="185" spans="3:17" x14ac:dyDescent="0.3">
      <c r="C185" s="906" t="str">
        <f>template_label_please_select_the_unit_used_for_the_area</f>
        <v>Please select the unit used for the area (i.e. either hectares or m²):</v>
      </c>
      <c r="D185" s="907"/>
      <c r="E185" s="907"/>
      <c r="F185" s="907"/>
      <c r="G185" s="907"/>
      <c r="H185" s="907"/>
      <c r="I185" s="907"/>
      <c r="J185" s="907"/>
      <c r="K185" s="908"/>
    </row>
    <row r="186" spans="3:17" ht="15" thickBot="1" x14ac:dyDescent="0.35">
      <c r="C186" s="841"/>
      <c r="D186" s="842"/>
      <c r="E186" s="842"/>
      <c r="F186" s="842"/>
      <c r="G186" s="842"/>
      <c r="H186" s="842"/>
      <c r="I186" s="842"/>
      <c r="J186" s="842"/>
      <c r="K186" s="843"/>
      <c r="L186" s="17" t="str">
        <f>IF(AND(G184=TRUE,C186=""), template_label_missing_value, IF(AND(G184=TRUE,C186&lt;&gt;""), template_label_ok, ""))</f>
        <v/>
      </c>
    </row>
    <row r="187" spans="3:17" ht="57.6" customHeight="1" x14ac:dyDescent="0.3">
      <c r="C187" s="120" t="str">
        <f>template_label_related_site_id</f>
        <v>Related Site ID (select an ID from a site location reported in B1)</v>
      </c>
      <c r="D187" s="870" t="str">
        <f>template_label_site_location_in_near_a_biodiversity_area</f>
        <v>Site Location in near a biodiversity area - auto filled from B1</v>
      </c>
      <c r="E187" s="871"/>
      <c r="F187" s="872"/>
      <c r="G187" s="870" t="str">
        <f>template_label_area_hectares_or_m2</f>
        <v>Area (hectares or m² based on the selection above)</v>
      </c>
      <c r="H187" s="871"/>
      <c r="I187" s="872"/>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c r="D188" s="799"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800"/>
      <c r="F188" s="801"/>
      <c r="G188" s="680"/>
      <c r="H188" s="681"/>
      <c r="I188" s="681"/>
      <c r="J188" s="240" t="b">
        <v>0</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31"/>
      <c r="D189" s="738"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39"/>
      <c r="F189" s="740"/>
      <c r="G189" s="680"/>
      <c r="H189" s="681"/>
      <c r="I189" s="681"/>
      <c r="J189" s="240" t="b">
        <v>0</v>
      </c>
      <c r="K189" s="238" t="b">
        <v>0</v>
      </c>
      <c r="L189" s="17" t="str">
        <f t="shared" si="4"/>
        <v/>
      </c>
    </row>
    <row r="190" spans="3:17" ht="15" thickBot="1" x14ac:dyDescent="0.35">
      <c r="C190" s="233"/>
      <c r="D190" s="81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19"/>
      <c r="F190" s="820"/>
      <c r="G190" s="883"/>
      <c r="H190" s="883"/>
      <c r="I190" s="883"/>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735"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736"/>
      <c r="F191" s="737"/>
      <c r="G191" s="936"/>
      <c r="H191" s="937"/>
      <c r="I191" s="938"/>
      <c r="J191" s="242" t="b">
        <v>0</v>
      </c>
      <c r="K191" s="237" t="b">
        <v>0</v>
      </c>
      <c r="L191" s="17" t="str">
        <f t="shared" si="4"/>
        <v/>
      </c>
      <c r="M191" s="10"/>
      <c r="N191" s="10"/>
      <c r="O191" s="10"/>
      <c r="P191" s="10"/>
      <c r="Q191" s="10"/>
    </row>
    <row r="192" spans="3:17" hidden="1" outlineLevel="1" x14ac:dyDescent="0.3">
      <c r="C192" s="232"/>
      <c r="D192" s="738"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39"/>
      <c r="F192" s="740"/>
      <c r="G192" s="680"/>
      <c r="H192" s="681"/>
      <c r="I192" s="682"/>
      <c r="J192" s="243" t="b">
        <v>0</v>
      </c>
      <c r="K192" s="238" t="b">
        <v>0</v>
      </c>
      <c r="L192" s="17" t="str">
        <f t="shared" si="4"/>
        <v/>
      </c>
      <c r="M192" s="10"/>
      <c r="N192" s="10"/>
      <c r="O192" s="10"/>
      <c r="P192" s="10"/>
      <c r="Q192" s="10"/>
    </row>
    <row r="193" spans="3:17" hidden="1" outlineLevel="1" x14ac:dyDescent="0.3">
      <c r="C193" s="231"/>
      <c r="D193" s="738"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39"/>
      <c r="F193" s="740"/>
      <c r="G193" s="680"/>
      <c r="H193" s="681"/>
      <c r="I193" s="682"/>
      <c r="J193" s="243" t="b">
        <v>0</v>
      </c>
      <c r="K193" s="238" t="b">
        <v>0</v>
      </c>
      <c r="L193" s="17" t="str">
        <f t="shared" si="4"/>
        <v/>
      </c>
      <c r="M193" s="10"/>
      <c r="N193" s="10"/>
      <c r="O193" s="10"/>
      <c r="P193" s="10"/>
      <c r="Q193" s="10"/>
    </row>
    <row r="194" spans="3:17" hidden="1" outlineLevel="1" x14ac:dyDescent="0.3">
      <c r="C194" s="231"/>
      <c r="D194" s="738"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39"/>
      <c r="F194" s="740"/>
      <c r="G194" s="680"/>
      <c r="H194" s="681"/>
      <c r="I194" s="682"/>
      <c r="J194" s="243" t="b">
        <v>0</v>
      </c>
      <c r="K194" s="238" t="b">
        <v>0</v>
      </c>
      <c r="L194" s="17" t="str">
        <f t="shared" si="4"/>
        <v/>
      </c>
      <c r="M194" s="10"/>
      <c r="N194" s="10"/>
      <c r="O194" s="10"/>
      <c r="P194" s="10"/>
      <c r="Q194" s="10"/>
    </row>
    <row r="195" spans="3:17" hidden="1" outlineLevel="1" x14ac:dyDescent="0.3">
      <c r="C195" s="231"/>
      <c r="D195" s="738"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39"/>
      <c r="F195" s="740"/>
      <c r="G195" s="680"/>
      <c r="H195" s="681"/>
      <c r="I195" s="682"/>
      <c r="J195" s="243" t="b">
        <v>0</v>
      </c>
      <c r="K195" s="238" t="b">
        <v>0</v>
      </c>
      <c r="L195" s="17" t="str">
        <f t="shared" si="4"/>
        <v/>
      </c>
      <c r="M195" s="10"/>
      <c r="N195" s="10"/>
      <c r="O195" s="10"/>
      <c r="P195" s="10"/>
      <c r="Q195" s="10"/>
    </row>
    <row r="196" spans="3:17" hidden="1" outlineLevel="1" x14ac:dyDescent="0.3">
      <c r="C196" s="231"/>
      <c r="D196" s="738"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39"/>
      <c r="F196" s="740"/>
      <c r="G196" s="680"/>
      <c r="H196" s="681"/>
      <c r="I196" s="682"/>
      <c r="J196" s="243" t="b">
        <v>0</v>
      </c>
      <c r="K196" s="238" t="b">
        <v>0</v>
      </c>
      <c r="L196" s="17" t="str">
        <f t="shared" si="4"/>
        <v/>
      </c>
      <c r="M196" s="10"/>
      <c r="N196" s="10"/>
      <c r="O196" s="10"/>
      <c r="P196" s="10"/>
      <c r="Q196" s="10"/>
    </row>
    <row r="197" spans="3:17" hidden="1" outlineLevel="1" x14ac:dyDescent="0.3">
      <c r="C197" s="231"/>
      <c r="D197" s="738"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39"/>
      <c r="F197" s="740"/>
      <c r="G197" s="680"/>
      <c r="H197" s="681"/>
      <c r="I197" s="682"/>
      <c r="J197" s="243" t="b">
        <v>0</v>
      </c>
      <c r="K197" s="238" t="b">
        <v>0</v>
      </c>
      <c r="L197" s="17" t="str">
        <f t="shared" si="4"/>
        <v/>
      </c>
      <c r="M197" s="10"/>
      <c r="N197" s="10"/>
      <c r="O197" s="10"/>
      <c r="P197" s="10"/>
      <c r="Q197" s="10"/>
    </row>
    <row r="198" spans="3:17" hidden="1" outlineLevel="1" x14ac:dyDescent="0.3">
      <c r="C198" s="231"/>
      <c r="D198" s="738"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39"/>
      <c r="F198" s="740"/>
      <c r="G198" s="680"/>
      <c r="H198" s="681"/>
      <c r="I198" s="682"/>
      <c r="J198" s="243" t="b">
        <v>0</v>
      </c>
      <c r="K198" s="238" t="b">
        <v>0</v>
      </c>
      <c r="L198" s="17" t="str">
        <f t="shared" si="4"/>
        <v/>
      </c>
      <c r="M198" s="10"/>
      <c r="N198" s="10"/>
      <c r="O198" s="10"/>
      <c r="P198" s="10"/>
      <c r="Q198" s="10"/>
    </row>
    <row r="199" spans="3:17" hidden="1" outlineLevel="1" x14ac:dyDescent="0.3">
      <c r="C199" s="231"/>
      <c r="D199" s="738"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39"/>
      <c r="F199" s="740"/>
      <c r="G199" s="680"/>
      <c r="H199" s="681"/>
      <c r="I199" s="682"/>
      <c r="J199" s="243" t="b">
        <v>0</v>
      </c>
      <c r="K199" s="238" t="b">
        <v>0</v>
      </c>
      <c r="L199" s="17" t="str">
        <f t="shared" si="4"/>
        <v/>
      </c>
      <c r="M199" s="10"/>
      <c r="N199" s="10"/>
      <c r="O199" s="10"/>
      <c r="P199" s="10"/>
      <c r="Q199" s="10"/>
    </row>
    <row r="200" spans="3:17" hidden="1" outlineLevel="1" x14ac:dyDescent="0.3">
      <c r="C200" s="231"/>
      <c r="D200" s="738"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39"/>
      <c r="F200" s="740"/>
      <c r="G200" s="680"/>
      <c r="H200" s="681"/>
      <c r="I200" s="682"/>
      <c r="J200" s="243" t="b">
        <v>0</v>
      </c>
      <c r="K200" s="238" t="b">
        <v>0</v>
      </c>
      <c r="L200" s="17" t="str">
        <f t="shared" si="4"/>
        <v/>
      </c>
      <c r="M200" s="10"/>
      <c r="N200" s="10"/>
      <c r="O200" s="10"/>
      <c r="P200" s="10"/>
      <c r="Q200" s="10"/>
    </row>
    <row r="201" spans="3:17" hidden="1" outlineLevel="1" x14ac:dyDescent="0.3">
      <c r="C201" s="231"/>
      <c r="D201" s="738"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39"/>
      <c r="F201" s="740"/>
      <c r="G201" s="680"/>
      <c r="H201" s="681"/>
      <c r="I201" s="682"/>
      <c r="J201" s="243" t="b">
        <v>0</v>
      </c>
      <c r="K201" s="238" t="b">
        <v>0</v>
      </c>
      <c r="L201" s="17" t="str">
        <f t="shared" si="4"/>
        <v/>
      </c>
      <c r="M201" s="10"/>
      <c r="N201" s="10"/>
      <c r="O201" s="10"/>
      <c r="P201" s="10"/>
      <c r="Q201" s="10"/>
    </row>
    <row r="202" spans="3:17" hidden="1" outlineLevel="1" x14ac:dyDescent="0.3">
      <c r="C202" s="231"/>
      <c r="D202" s="738"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39"/>
      <c r="F202" s="740"/>
      <c r="G202" s="680"/>
      <c r="H202" s="681"/>
      <c r="I202" s="682"/>
      <c r="J202" s="243" t="b">
        <v>0</v>
      </c>
      <c r="K202" s="238" t="b">
        <v>0</v>
      </c>
      <c r="L202" s="17" t="str">
        <f t="shared" si="4"/>
        <v/>
      </c>
      <c r="M202" s="10"/>
      <c r="N202" s="10"/>
      <c r="O202" s="10"/>
      <c r="P202" s="10"/>
      <c r="Q202" s="10"/>
    </row>
    <row r="203" spans="3:17" hidden="1" outlineLevel="1" x14ac:dyDescent="0.3">
      <c r="C203" s="231"/>
      <c r="D203" s="738"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39"/>
      <c r="F203" s="740"/>
      <c r="G203" s="680"/>
      <c r="H203" s="681"/>
      <c r="I203" s="682"/>
      <c r="J203" s="243" t="b">
        <v>0</v>
      </c>
      <c r="K203" s="238" t="b">
        <v>0</v>
      </c>
      <c r="L203" s="17" t="str">
        <f t="shared" si="4"/>
        <v/>
      </c>
      <c r="M203" s="10"/>
      <c r="N203" s="10"/>
      <c r="O203" s="10"/>
      <c r="P203" s="10"/>
      <c r="Q203" s="10"/>
    </row>
    <row r="204" spans="3:17" hidden="1" outlineLevel="1" x14ac:dyDescent="0.3">
      <c r="C204" s="231"/>
      <c r="D204" s="738"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39"/>
      <c r="F204" s="740"/>
      <c r="G204" s="680"/>
      <c r="H204" s="681"/>
      <c r="I204" s="682"/>
      <c r="J204" s="243" t="b">
        <v>0</v>
      </c>
      <c r="K204" s="238" t="b">
        <v>0</v>
      </c>
      <c r="L204" s="17" t="str">
        <f t="shared" si="4"/>
        <v/>
      </c>
      <c r="M204" s="10"/>
      <c r="N204" s="10"/>
      <c r="O204" s="10"/>
      <c r="P204" s="10"/>
      <c r="Q204" s="10"/>
    </row>
    <row r="205" spans="3:17" hidden="1" outlineLevel="1" x14ac:dyDescent="0.3">
      <c r="C205" s="231"/>
      <c r="D205" s="738"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39"/>
      <c r="F205" s="740"/>
      <c r="G205" s="680"/>
      <c r="H205" s="681"/>
      <c r="I205" s="682"/>
      <c r="J205" s="243" t="b">
        <v>0</v>
      </c>
      <c r="K205" s="238" t="b">
        <v>0</v>
      </c>
      <c r="L205" s="17" t="str">
        <f t="shared" si="4"/>
        <v/>
      </c>
      <c r="M205" s="10"/>
      <c r="N205" s="10"/>
      <c r="O205" s="10"/>
      <c r="P205" s="10"/>
      <c r="Q205" s="10"/>
    </row>
    <row r="206" spans="3:17" hidden="1" outlineLevel="1" x14ac:dyDescent="0.3">
      <c r="C206" s="231"/>
      <c r="D206" s="738"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39"/>
      <c r="F206" s="740"/>
      <c r="G206" s="680"/>
      <c r="H206" s="681"/>
      <c r="I206" s="682"/>
      <c r="J206" s="243" t="b">
        <v>0</v>
      </c>
      <c r="K206" s="238" t="b">
        <v>0</v>
      </c>
      <c r="L206" s="17" t="str">
        <f t="shared" si="4"/>
        <v/>
      </c>
      <c r="M206" s="10"/>
      <c r="N206" s="10"/>
      <c r="O206" s="10"/>
      <c r="P206" s="10"/>
      <c r="Q206" s="10"/>
    </row>
    <row r="207" spans="3:17" hidden="1" outlineLevel="1" x14ac:dyDescent="0.3">
      <c r="C207" s="231"/>
      <c r="D207" s="738"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39"/>
      <c r="F207" s="740"/>
      <c r="G207" s="680"/>
      <c r="H207" s="681"/>
      <c r="I207" s="682"/>
      <c r="J207" s="243" t="b">
        <v>0</v>
      </c>
      <c r="K207" s="238" t="b">
        <v>0</v>
      </c>
      <c r="L207" s="17" t="str">
        <f t="shared" si="4"/>
        <v/>
      </c>
      <c r="M207" s="10"/>
      <c r="N207" s="10"/>
      <c r="O207" s="10"/>
      <c r="P207" s="10"/>
      <c r="Q207" s="10"/>
    </row>
    <row r="208" spans="3:17" hidden="1" outlineLevel="1" x14ac:dyDescent="0.3">
      <c r="C208" s="231"/>
      <c r="D208" s="738"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39"/>
      <c r="F208" s="740"/>
      <c r="G208" s="680"/>
      <c r="H208" s="681"/>
      <c r="I208" s="682"/>
      <c r="J208" s="243" t="b">
        <v>0</v>
      </c>
      <c r="K208" s="238" t="b">
        <v>0</v>
      </c>
      <c r="L208" s="17" t="str">
        <f t="shared" si="4"/>
        <v/>
      </c>
      <c r="M208" s="10"/>
      <c r="N208" s="10"/>
      <c r="O208" s="10"/>
      <c r="P208" s="10"/>
      <c r="Q208" s="10"/>
    </row>
    <row r="209" spans="3:17" hidden="1" outlineLevel="1" x14ac:dyDescent="0.3">
      <c r="C209" s="231"/>
      <c r="D209" s="738"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39"/>
      <c r="F209" s="740"/>
      <c r="G209" s="680"/>
      <c r="H209" s="681"/>
      <c r="I209" s="682"/>
      <c r="J209" s="243" t="b">
        <v>0</v>
      </c>
      <c r="K209" s="238" t="b">
        <v>0</v>
      </c>
      <c r="L209" s="17" t="str">
        <f t="shared" si="4"/>
        <v/>
      </c>
      <c r="M209" s="10"/>
      <c r="N209" s="10"/>
      <c r="O209" s="10"/>
      <c r="P209" s="10"/>
      <c r="Q209" s="10"/>
    </row>
    <row r="210" spans="3:17" hidden="1" outlineLevel="1" x14ac:dyDescent="0.3">
      <c r="C210" s="231"/>
      <c r="D210" s="738"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39"/>
      <c r="F210" s="740"/>
      <c r="G210" s="680"/>
      <c r="H210" s="681"/>
      <c r="I210" s="682"/>
      <c r="J210" s="243" t="b">
        <v>0</v>
      </c>
      <c r="K210" s="238" t="b">
        <v>0</v>
      </c>
      <c r="L210" s="17" t="str">
        <f t="shared" si="4"/>
        <v/>
      </c>
      <c r="M210" s="10"/>
      <c r="N210" s="10"/>
      <c r="O210" s="10"/>
      <c r="P210" s="10"/>
      <c r="Q210" s="10"/>
    </row>
    <row r="211" spans="3:17" hidden="1" outlineLevel="1" x14ac:dyDescent="0.3">
      <c r="C211" s="231"/>
      <c r="D211" s="738"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39"/>
      <c r="F211" s="740"/>
      <c r="G211" s="680"/>
      <c r="H211" s="681"/>
      <c r="I211" s="682"/>
      <c r="J211" s="243" t="b">
        <v>0</v>
      </c>
      <c r="K211" s="238" t="b">
        <v>0</v>
      </c>
      <c r="L211" s="17" t="str">
        <f t="shared" si="4"/>
        <v/>
      </c>
      <c r="M211" s="10"/>
      <c r="N211" s="10"/>
      <c r="O211" s="10"/>
      <c r="P211" s="10"/>
      <c r="Q211" s="10"/>
    </row>
    <row r="212" spans="3:17" hidden="1" outlineLevel="1" x14ac:dyDescent="0.3">
      <c r="C212" s="231"/>
      <c r="D212" s="738"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39"/>
      <c r="F212" s="740"/>
      <c r="G212" s="680"/>
      <c r="H212" s="681"/>
      <c r="I212" s="682"/>
      <c r="J212" s="243" t="b">
        <v>0</v>
      </c>
      <c r="K212" s="238" t="b">
        <v>0</v>
      </c>
      <c r="L212" s="17" t="str">
        <f t="shared" si="4"/>
        <v/>
      </c>
      <c r="M212" s="10"/>
      <c r="N212" s="10"/>
      <c r="O212" s="10"/>
      <c r="P212" s="10"/>
      <c r="Q212" s="10"/>
    </row>
    <row r="213" spans="3:17" hidden="1" outlineLevel="1" x14ac:dyDescent="0.3">
      <c r="C213" s="231"/>
      <c r="D213" s="738"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39"/>
      <c r="F213" s="740"/>
      <c r="G213" s="680"/>
      <c r="H213" s="681"/>
      <c r="I213" s="682"/>
      <c r="J213" s="243" t="b">
        <v>0</v>
      </c>
      <c r="K213" s="238" t="b">
        <v>0</v>
      </c>
      <c r="L213" s="17" t="str">
        <f t="shared" si="4"/>
        <v/>
      </c>
      <c r="M213" s="10"/>
      <c r="N213" s="10"/>
      <c r="O213" s="10"/>
      <c r="P213" s="10"/>
      <c r="Q213" s="10"/>
    </row>
    <row r="214" spans="3:17" hidden="1" outlineLevel="1" x14ac:dyDescent="0.3">
      <c r="C214" s="231"/>
      <c r="D214" s="738"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39"/>
      <c r="F214" s="740"/>
      <c r="G214" s="680"/>
      <c r="H214" s="681"/>
      <c r="I214" s="682"/>
      <c r="J214" s="243" t="b">
        <v>0</v>
      </c>
      <c r="K214" s="238" t="b">
        <v>0</v>
      </c>
      <c r="L214" s="17" t="str">
        <f t="shared" si="4"/>
        <v/>
      </c>
      <c r="M214" s="10"/>
      <c r="N214" s="10"/>
      <c r="O214" s="10"/>
      <c r="P214" s="10"/>
      <c r="Q214" s="10"/>
    </row>
    <row r="215" spans="3:17" hidden="1" outlineLevel="1" x14ac:dyDescent="0.3">
      <c r="C215" s="231"/>
      <c r="D215" s="738"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39"/>
      <c r="F215" s="740"/>
      <c r="G215" s="680"/>
      <c r="H215" s="681"/>
      <c r="I215" s="682"/>
      <c r="J215" s="243" t="b">
        <v>0</v>
      </c>
      <c r="K215" s="238" t="b">
        <v>0</v>
      </c>
      <c r="L215" s="17" t="str">
        <f t="shared" si="4"/>
        <v/>
      </c>
      <c r="M215" s="10"/>
      <c r="N215" s="10"/>
      <c r="O215" s="10"/>
      <c r="P215" s="10"/>
      <c r="Q215" s="10"/>
    </row>
    <row r="216" spans="3:17" hidden="1" outlineLevel="1" x14ac:dyDescent="0.3">
      <c r="C216" s="231"/>
      <c r="D216" s="738"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39"/>
      <c r="F216" s="740"/>
      <c r="G216" s="680"/>
      <c r="H216" s="681"/>
      <c r="I216" s="682"/>
      <c r="J216" s="243" t="b">
        <v>0</v>
      </c>
      <c r="K216" s="238" t="b">
        <v>0</v>
      </c>
      <c r="L216" s="17" t="str">
        <f t="shared" si="4"/>
        <v/>
      </c>
      <c r="M216" s="10"/>
      <c r="N216" s="10"/>
      <c r="O216" s="10"/>
      <c r="P216" s="10"/>
      <c r="Q216" s="10"/>
    </row>
    <row r="217" spans="3:17" hidden="1" outlineLevel="1" x14ac:dyDescent="0.3">
      <c r="C217" s="231"/>
      <c r="D217" s="738"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39"/>
      <c r="F217" s="740"/>
      <c r="G217" s="680"/>
      <c r="H217" s="681"/>
      <c r="I217" s="682"/>
      <c r="J217" s="243" t="b">
        <v>0</v>
      </c>
      <c r="K217" s="238" t="b">
        <v>0</v>
      </c>
      <c r="L217" s="17" t="str">
        <f t="shared" si="4"/>
        <v/>
      </c>
      <c r="M217" s="10"/>
      <c r="N217" s="10"/>
      <c r="O217" s="10"/>
      <c r="P217" s="10"/>
      <c r="Q217" s="10"/>
    </row>
    <row r="218" spans="3:17" hidden="1" outlineLevel="1" x14ac:dyDescent="0.3">
      <c r="C218" s="231"/>
      <c r="D218" s="738"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39"/>
      <c r="F218" s="740"/>
      <c r="G218" s="680"/>
      <c r="H218" s="681"/>
      <c r="I218" s="682"/>
      <c r="J218" s="243" t="b">
        <v>0</v>
      </c>
      <c r="K218" s="238" t="b">
        <v>0</v>
      </c>
      <c r="L218" s="17" t="str">
        <f t="shared" si="4"/>
        <v/>
      </c>
      <c r="M218" s="10"/>
      <c r="N218" s="10"/>
      <c r="O218" s="10"/>
      <c r="P218" s="10"/>
      <c r="Q218" s="10"/>
    </row>
    <row r="219" spans="3:17" hidden="1" outlineLevel="1" x14ac:dyDescent="0.3">
      <c r="C219" s="231"/>
      <c r="D219" s="738"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39"/>
      <c r="F219" s="740"/>
      <c r="G219" s="680"/>
      <c r="H219" s="681"/>
      <c r="I219" s="682"/>
      <c r="J219" s="243" t="b">
        <v>0</v>
      </c>
      <c r="K219" s="238" t="b">
        <v>0</v>
      </c>
      <c r="L219" s="17" t="str">
        <f t="shared" si="4"/>
        <v/>
      </c>
      <c r="M219" s="10"/>
      <c r="N219" s="10"/>
      <c r="O219" s="10"/>
      <c r="P219" s="10"/>
      <c r="Q219" s="10"/>
    </row>
    <row r="220" spans="3:17" hidden="1" outlineLevel="1" x14ac:dyDescent="0.3">
      <c r="C220" s="231"/>
      <c r="D220" s="738"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39"/>
      <c r="F220" s="740"/>
      <c r="G220" s="680"/>
      <c r="H220" s="681"/>
      <c r="I220" s="682"/>
      <c r="J220" s="243" t="b">
        <v>0</v>
      </c>
      <c r="K220" s="238" t="b">
        <v>0</v>
      </c>
      <c r="L220" s="17" t="str">
        <f t="shared" si="4"/>
        <v/>
      </c>
      <c r="M220" s="10"/>
      <c r="N220" s="10"/>
      <c r="O220" s="10"/>
      <c r="P220" s="10"/>
      <c r="Q220" s="10"/>
    </row>
    <row r="221" spans="3:17" hidden="1" outlineLevel="1" x14ac:dyDescent="0.3">
      <c r="C221" s="231"/>
      <c r="D221" s="738"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39"/>
      <c r="F221" s="740"/>
      <c r="G221" s="680"/>
      <c r="H221" s="681"/>
      <c r="I221" s="682"/>
      <c r="J221" s="243" t="b">
        <v>0</v>
      </c>
      <c r="K221" s="238" t="b">
        <v>0</v>
      </c>
      <c r="L221" s="17" t="str">
        <f t="shared" si="4"/>
        <v/>
      </c>
      <c r="M221" s="10"/>
      <c r="N221" s="10"/>
      <c r="O221" s="10"/>
      <c r="P221" s="10"/>
      <c r="Q221" s="10"/>
    </row>
    <row r="222" spans="3:17" hidden="1" outlineLevel="1" x14ac:dyDescent="0.3">
      <c r="C222" s="231"/>
      <c r="D222" s="738"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39"/>
      <c r="F222" s="740"/>
      <c r="G222" s="680"/>
      <c r="H222" s="681"/>
      <c r="I222" s="682"/>
      <c r="J222" s="243" t="b">
        <v>0</v>
      </c>
      <c r="K222" s="238" t="b">
        <v>0</v>
      </c>
      <c r="L222" s="17" t="str">
        <f t="shared" si="4"/>
        <v/>
      </c>
      <c r="M222" s="10"/>
      <c r="N222" s="10"/>
      <c r="O222" s="10"/>
      <c r="P222" s="10"/>
      <c r="Q222" s="10"/>
    </row>
    <row r="223" spans="3:17" hidden="1" outlineLevel="1" x14ac:dyDescent="0.3">
      <c r="C223" s="231"/>
      <c r="D223" s="738"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39"/>
      <c r="F223" s="740"/>
      <c r="G223" s="680"/>
      <c r="H223" s="681"/>
      <c r="I223" s="682"/>
      <c r="J223" s="243" t="b">
        <v>0</v>
      </c>
      <c r="K223" s="238" t="b">
        <v>0</v>
      </c>
      <c r="L223" s="17" t="str">
        <f t="shared" si="4"/>
        <v/>
      </c>
      <c r="M223" s="10"/>
      <c r="N223" s="10"/>
      <c r="O223" s="10"/>
      <c r="P223" s="10"/>
      <c r="Q223" s="10"/>
    </row>
    <row r="224" spans="3:17" hidden="1" outlineLevel="1" x14ac:dyDescent="0.3">
      <c r="C224" s="231"/>
      <c r="D224" s="738"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39"/>
      <c r="F224" s="740"/>
      <c r="G224" s="680"/>
      <c r="H224" s="681"/>
      <c r="I224" s="682"/>
      <c r="J224" s="243" t="b">
        <v>0</v>
      </c>
      <c r="K224" s="238" t="b">
        <v>0</v>
      </c>
      <c r="L224" s="17" t="str">
        <f t="shared" si="4"/>
        <v/>
      </c>
      <c r="M224" s="10"/>
      <c r="N224" s="10"/>
      <c r="O224" s="10"/>
      <c r="P224" s="10"/>
      <c r="Q224" s="10"/>
    </row>
    <row r="225" spans="3:17" hidden="1" outlineLevel="1" x14ac:dyDescent="0.3">
      <c r="C225" s="231"/>
      <c r="D225" s="738"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39"/>
      <c r="F225" s="740"/>
      <c r="G225" s="680"/>
      <c r="H225" s="681"/>
      <c r="I225" s="682"/>
      <c r="J225" s="243" t="b">
        <v>0</v>
      </c>
      <c r="K225" s="238" t="b">
        <v>0</v>
      </c>
      <c r="L225" s="17" t="str">
        <f t="shared" si="4"/>
        <v/>
      </c>
      <c r="M225" s="10"/>
      <c r="N225" s="10"/>
      <c r="O225" s="10"/>
      <c r="P225" s="10"/>
      <c r="Q225" s="10"/>
    </row>
    <row r="226" spans="3:17" hidden="1" outlineLevel="1" x14ac:dyDescent="0.3">
      <c r="C226" s="231"/>
      <c r="D226" s="738"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39"/>
      <c r="F226" s="740"/>
      <c r="G226" s="680"/>
      <c r="H226" s="681"/>
      <c r="I226" s="682"/>
      <c r="J226" s="243" t="b">
        <v>0</v>
      </c>
      <c r="K226" s="238" t="b">
        <v>0</v>
      </c>
      <c r="L226" s="17" t="str">
        <f t="shared" si="4"/>
        <v/>
      </c>
      <c r="M226" s="10"/>
      <c r="N226" s="10"/>
      <c r="O226" s="10"/>
      <c r="P226" s="10"/>
      <c r="Q226" s="10"/>
    </row>
    <row r="227" spans="3:17" hidden="1" outlineLevel="1" x14ac:dyDescent="0.3">
      <c r="C227" s="231"/>
      <c r="D227" s="738"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39"/>
      <c r="F227" s="740"/>
      <c r="G227" s="680"/>
      <c r="H227" s="681"/>
      <c r="I227" s="682"/>
      <c r="J227" s="243" t="b">
        <v>0</v>
      </c>
      <c r="K227" s="238" t="b">
        <v>0</v>
      </c>
      <c r="L227" s="17" t="str">
        <f t="shared" si="4"/>
        <v/>
      </c>
      <c r="M227" s="10"/>
      <c r="N227" s="10"/>
      <c r="O227" s="10"/>
      <c r="P227" s="10"/>
      <c r="Q227" s="10"/>
    </row>
    <row r="228" spans="3:17" hidden="1" outlineLevel="1" x14ac:dyDescent="0.3">
      <c r="C228" s="231"/>
      <c r="D228" s="738"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39"/>
      <c r="F228" s="740"/>
      <c r="G228" s="680"/>
      <c r="H228" s="681"/>
      <c r="I228" s="682"/>
      <c r="J228" s="243" t="b">
        <v>0</v>
      </c>
      <c r="K228" s="238" t="b">
        <v>0</v>
      </c>
      <c r="L228" s="17" t="str">
        <f t="shared" si="4"/>
        <v/>
      </c>
      <c r="M228" s="10"/>
      <c r="N228" s="10"/>
      <c r="O228" s="10"/>
      <c r="P228" s="10"/>
      <c r="Q228" s="10"/>
    </row>
    <row r="229" spans="3:17" hidden="1" outlineLevel="1" x14ac:dyDescent="0.3">
      <c r="C229" s="231"/>
      <c r="D229" s="738"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39"/>
      <c r="F229" s="740"/>
      <c r="G229" s="680"/>
      <c r="H229" s="681"/>
      <c r="I229" s="682"/>
      <c r="J229" s="243" t="b">
        <v>0</v>
      </c>
      <c r="K229" s="238" t="b">
        <v>0</v>
      </c>
      <c r="L229" s="17" t="str">
        <f t="shared" si="4"/>
        <v/>
      </c>
      <c r="M229" s="10"/>
      <c r="N229" s="10"/>
      <c r="O229" s="10"/>
      <c r="P229" s="10"/>
      <c r="Q229" s="10"/>
    </row>
    <row r="230" spans="3:17" hidden="1" outlineLevel="1" x14ac:dyDescent="0.3">
      <c r="C230" s="231"/>
      <c r="D230" s="738"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39"/>
      <c r="F230" s="740"/>
      <c r="G230" s="680"/>
      <c r="H230" s="681"/>
      <c r="I230" s="682"/>
      <c r="J230" s="243" t="b">
        <v>0</v>
      </c>
      <c r="K230" s="238" t="b">
        <v>0</v>
      </c>
      <c r="L230" s="17" t="str">
        <f t="shared" si="4"/>
        <v/>
      </c>
      <c r="M230" s="10"/>
      <c r="N230" s="10"/>
      <c r="O230" s="10"/>
      <c r="P230" s="10"/>
      <c r="Q230" s="10"/>
    </row>
    <row r="231" spans="3:17" hidden="1" outlineLevel="1" x14ac:dyDescent="0.3">
      <c r="C231" s="231"/>
      <c r="D231" s="738"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39"/>
      <c r="F231" s="740"/>
      <c r="G231" s="680"/>
      <c r="H231" s="681"/>
      <c r="I231" s="682"/>
      <c r="J231" s="243" t="b">
        <v>0</v>
      </c>
      <c r="K231" s="238" t="b">
        <v>0</v>
      </c>
      <c r="L231" s="17" t="str">
        <f t="shared" si="4"/>
        <v/>
      </c>
      <c r="M231" s="10"/>
      <c r="N231" s="10"/>
      <c r="O231" s="10"/>
      <c r="P231" s="10"/>
      <c r="Q231" s="10"/>
    </row>
    <row r="232" spans="3:17" hidden="1" outlineLevel="1" x14ac:dyDescent="0.3">
      <c r="C232" s="231"/>
      <c r="D232" s="738"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39"/>
      <c r="F232" s="740"/>
      <c r="G232" s="680"/>
      <c r="H232" s="681"/>
      <c r="I232" s="682"/>
      <c r="J232" s="243" t="b">
        <v>0</v>
      </c>
      <c r="K232" s="238" t="b">
        <v>0</v>
      </c>
      <c r="L232" s="17" t="str">
        <f t="shared" si="4"/>
        <v/>
      </c>
      <c r="M232" s="10"/>
      <c r="N232" s="10"/>
      <c r="O232" s="10"/>
      <c r="P232" s="10"/>
      <c r="Q232" s="10"/>
    </row>
    <row r="233" spans="3:17" hidden="1" outlineLevel="1" x14ac:dyDescent="0.3">
      <c r="C233" s="231"/>
      <c r="D233" s="738"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39"/>
      <c r="F233" s="740"/>
      <c r="G233" s="680"/>
      <c r="H233" s="681"/>
      <c r="I233" s="682"/>
      <c r="J233" s="243" t="b">
        <v>0</v>
      </c>
      <c r="K233" s="238" t="b">
        <v>0</v>
      </c>
      <c r="L233" s="17" t="str">
        <f t="shared" si="4"/>
        <v/>
      </c>
      <c r="M233" s="10"/>
      <c r="N233" s="10"/>
      <c r="O233" s="10"/>
      <c r="P233" s="10"/>
      <c r="Q233" s="10"/>
    </row>
    <row r="234" spans="3:17" hidden="1" outlineLevel="1" x14ac:dyDescent="0.3">
      <c r="C234" s="231"/>
      <c r="D234" s="738"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39"/>
      <c r="F234" s="740"/>
      <c r="G234" s="680"/>
      <c r="H234" s="681"/>
      <c r="I234" s="682"/>
      <c r="J234" s="243" t="b">
        <v>0</v>
      </c>
      <c r="K234" s="238" t="b">
        <v>0</v>
      </c>
      <c r="L234" s="17" t="str">
        <f t="shared" si="4"/>
        <v/>
      </c>
      <c r="M234" s="10"/>
      <c r="N234" s="10"/>
      <c r="O234" s="10"/>
      <c r="P234" s="10"/>
      <c r="Q234" s="10"/>
    </row>
    <row r="235" spans="3:17" hidden="1" outlineLevel="1" x14ac:dyDescent="0.3">
      <c r="C235" s="231"/>
      <c r="D235" s="738"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39"/>
      <c r="F235" s="740"/>
      <c r="G235" s="680"/>
      <c r="H235" s="681"/>
      <c r="I235" s="682"/>
      <c r="J235" s="243" t="b">
        <v>0</v>
      </c>
      <c r="K235" s="238" t="b">
        <v>0</v>
      </c>
      <c r="L235" s="17" t="str">
        <f t="shared" si="4"/>
        <v/>
      </c>
      <c r="M235" s="10"/>
      <c r="N235" s="10"/>
      <c r="O235" s="10"/>
      <c r="P235" s="10"/>
      <c r="Q235" s="10"/>
    </row>
    <row r="236" spans="3:17" hidden="1" outlineLevel="1" x14ac:dyDescent="0.3">
      <c r="C236" s="231"/>
      <c r="D236" s="738"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39"/>
      <c r="F236" s="740"/>
      <c r="G236" s="680"/>
      <c r="H236" s="681"/>
      <c r="I236" s="682"/>
      <c r="J236" s="243" t="b">
        <v>0</v>
      </c>
      <c r="K236" s="238" t="b">
        <v>0</v>
      </c>
      <c r="L236" s="17" t="str">
        <f t="shared" si="4"/>
        <v/>
      </c>
      <c r="M236" s="10"/>
      <c r="N236" s="10"/>
      <c r="O236" s="10"/>
      <c r="P236" s="10"/>
      <c r="Q236" s="10"/>
    </row>
    <row r="237" spans="3:17" hidden="1" outlineLevel="1" x14ac:dyDescent="0.3">
      <c r="C237" s="231"/>
      <c r="D237" s="738"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39"/>
      <c r="F237" s="740"/>
      <c r="G237" s="680"/>
      <c r="H237" s="681"/>
      <c r="I237" s="682"/>
      <c r="J237" s="243" t="b">
        <v>0</v>
      </c>
      <c r="K237" s="238" t="b">
        <v>0</v>
      </c>
      <c r="L237" s="17" t="str">
        <f t="shared" si="4"/>
        <v/>
      </c>
      <c r="M237" s="10"/>
      <c r="N237" s="10"/>
      <c r="O237" s="10"/>
      <c r="P237" s="10"/>
      <c r="Q237" s="10"/>
    </row>
    <row r="238" spans="3:17" hidden="1" outlineLevel="1" x14ac:dyDescent="0.3">
      <c r="C238" s="231"/>
      <c r="D238" s="738"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39"/>
      <c r="F238" s="740"/>
      <c r="G238" s="680"/>
      <c r="H238" s="681"/>
      <c r="I238" s="682"/>
      <c r="J238" s="243" t="b">
        <v>0</v>
      </c>
      <c r="K238" s="238" t="b">
        <v>0</v>
      </c>
      <c r="L238" s="17" t="str">
        <f t="shared" si="4"/>
        <v/>
      </c>
      <c r="M238" s="10"/>
      <c r="N238" s="10"/>
      <c r="O238" s="10"/>
      <c r="P238" s="10"/>
      <c r="Q238" s="10"/>
    </row>
    <row r="239" spans="3:17" hidden="1" outlineLevel="1" x14ac:dyDescent="0.3">
      <c r="C239" s="231"/>
      <c r="D239" s="738"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39"/>
      <c r="F239" s="740"/>
      <c r="G239" s="680"/>
      <c r="H239" s="681"/>
      <c r="I239" s="682"/>
      <c r="J239" s="243" t="b">
        <v>0</v>
      </c>
      <c r="K239" s="238" t="b">
        <v>0</v>
      </c>
      <c r="L239" s="17" t="str">
        <f t="shared" si="4"/>
        <v/>
      </c>
      <c r="M239" s="10"/>
      <c r="N239" s="10"/>
      <c r="O239" s="10"/>
      <c r="P239" s="10"/>
      <c r="Q239" s="10"/>
    </row>
    <row r="240" spans="3:17" hidden="1" outlineLevel="1" x14ac:dyDescent="0.3">
      <c r="C240" s="231"/>
      <c r="D240" s="738"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39"/>
      <c r="F240" s="740"/>
      <c r="G240" s="680"/>
      <c r="H240" s="681"/>
      <c r="I240" s="682"/>
      <c r="J240" s="243" t="b">
        <v>0</v>
      </c>
      <c r="K240" s="238" t="b">
        <v>0</v>
      </c>
      <c r="L240" s="17" t="str">
        <f t="shared" si="4"/>
        <v/>
      </c>
      <c r="M240" s="10"/>
      <c r="N240" s="10"/>
      <c r="O240" s="10"/>
      <c r="P240" s="10"/>
      <c r="Q240" s="10"/>
    </row>
    <row r="241" spans="3:17" hidden="1" outlineLevel="1" x14ac:dyDescent="0.3">
      <c r="C241" s="231"/>
      <c r="D241" s="738"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39"/>
      <c r="F241" s="740"/>
      <c r="G241" s="680"/>
      <c r="H241" s="681"/>
      <c r="I241" s="682"/>
      <c r="J241" s="243" t="b">
        <v>0</v>
      </c>
      <c r="K241" s="238" t="b">
        <v>0</v>
      </c>
      <c r="L241" s="17" t="str">
        <f t="shared" si="4"/>
        <v/>
      </c>
      <c r="M241" s="10"/>
      <c r="N241" s="10"/>
      <c r="O241" s="10"/>
      <c r="P241" s="10"/>
      <c r="Q241" s="10"/>
    </row>
    <row r="242" spans="3:17" hidden="1" outlineLevel="1" x14ac:dyDescent="0.3">
      <c r="C242" s="231"/>
      <c r="D242" s="738"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39"/>
      <c r="F242" s="740"/>
      <c r="G242" s="680"/>
      <c r="H242" s="681"/>
      <c r="I242" s="682"/>
      <c r="J242" s="243" t="b">
        <v>0</v>
      </c>
      <c r="K242" s="238" t="b">
        <v>0</v>
      </c>
      <c r="L242" s="17" t="str">
        <f t="shared" si="4"/>
        <v/>
      </c>
      <c r="M242" s="10"/>
      <c r="N242" s="10"/>
      <c r="O242" s="10"/>
      <c r="P242" s="10"/>
      <c r="Q242" s="10"/>
    </row>
    <row r="243" spans="3:17" hidden="1" outlineLevel="1" x14ac:dyDescent="0.3">
      <c r="C243" s="231"/>
      <c r="D243" s="738"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39"/>
      <c r="F243" s="740"/>
      <c r="G243" s="680"/>
      <c r="H243" s="681"/>
      <c r="I243" s="682"/>
      <c r="J243" s="243" t="b">
        <v>0</v>
      </c>
      <c r="K243" s="238" t="b">
        <v>0</v>
      </c>
      <c r="L243" s="17" t="str">
        <f t="shared" si="4"/>
        <v/>
      </c>
      <c r="M243" s="10"/>
      <c r="N243" s="10"/>
      <c r="O243" s="10"/>
      <c r="P243" s="10"/>
      <c r="Q243" s="10"/>
    </row>
    <row r="244" spans="3:17" hidden="1" outlineLevel="1" x14ac:dyDescent="0.3">
      <c r="C244" s="231"/>
      <c r="D244" s="738"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39"/>
      <c r="F244" s="740"/>
      <c r="G244" s="680"/>
      <c r="H244" s="681"/>
      <c r="I244" s="682"/>
      <c r="J244" s="243" t="b">
        <v>0</v>
      </c>
      <c r="K244" s="238" t="b">
        <v>0</v>
      </c>
      <c r="L244" s="17" t="str">
        <f t="shared" si="4"/>
        <v/>
      </c>
      <c r="M244" s="10"/>
      <c r="N244" s="10"/>
      <c r="O244" s="10"/>
      <c r="P244" s="10"/>
      <c r="Q244" s="10"/>
    </row>
    <row r="245" spans="3:17" hidden="1" outlineLevel="1" x14ac:dyDescent="0.3">
      <c r="C245" s="231"/>
      <c r="D245" s="738"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39"/>
      <c r="F245" s="740"/>
      <c r="G245" s="680"/>
      <c r="H245" s="681"/>
      <c r="I245" s="682"/>
      <c r="J245" s="243" t="b">
        <v>0</v>
      </c>
      <c r="K245" s="238" t="b">
        <v>0</v>
      </c>
      <c r="L245" s="17" t="str">
        <f t="shared" si="4"/>
        <v/>
      </c>
      <c r="M245" s="10"/>
      <c r="N245" s="10"/>
      <c r="O245" s="10"/>
      <c r="P245" s="10"/>
      <c r="Q245" s="10"/>
    </row>
    <row r="246" spans="3:17" hidden="1" outlineLevel="1" x14ac:dyDescent="0.3">
      <c r="C246" s="231"/>
      <c r="D246" s="738"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39"/>
      <c r="F246" s="740"/>
      <c r="G246" s="680"/>
      <c r="H246" s="681"/>
      <c r="I246" s="682"/>
      <c r="J246" s="243" t="b">
        <v>0</v>
      </c>
      <c r="K246" s="238" t="b">
        <v>0</v>
      </c>
      <c r="L246" s="17" t="str">
        <f t="shared" si="4"/>
        <v/>
      </c>
      <c r="M246" s="10"/>
      <c r="N246" s="10"/>
      <c r="O246" s="10"/>
      <c r="P246" s="10"/>
      <c r="Q246" s="10"/>
    </row>
    <row r="247" spans="3:17" hidden="1" outlineLevel="1" x14ac:dyDescent="0.3">
      <c r="C247" s="231"/>
      <c r="D247" s="738"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39"/>
      <c r="F247" s="740"/>
      <c r="G247" s="680"/>
      <c r="H247" s="681"/>
      <c r="I247" s="682"/>
      <c r="J247" s="243" t="b">
        <v>0</v>
      </c>
      <c r="K247" s="238" t="b">
        <v>0</v>
      </c>
      <c r="L247" s="17" t="str">
        <f t="shared" si="4"/>
        <v/>
      </c>
      <c r="M247" s="10"/>
      <c r="N247" s="10"/>
      <c r="O247" s="10"/>
      <c r="P247" s="10"/>
      <c r="Q247" s="10"/>
    </row>
    <row r="248" spans="3:17" hidden="1" outlineLevel="1" x14ac:dyDescent="0.3">
      <c r="C248" s="231"/>
      <c r="D248" s="738"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39"/>
      <c r="F248" s="740"/>
      <c r="G248" s="680"/>
      <c r="H248" s="681"/>
      <c r="I248" s="682"/>
      <c r="J248" s="243" t="b">
        <v>0</v>
      </c>
      <c r="K248" s="238" t="b">
        <v>0</v>
      </c>
      <c r="L248" s="17" t="str">
        <f t="shared" si="4"/>
        <v/>
      </c>
      <c r="M248" s="10"/>
      <c r="N248" s="10"/>
      <c r="O248" s="10"/>
      <c r="P248" s="10"/>
      <c r="Q248" s="10"/>
    </row>
    <row r="249" spans="3:17" hidden="1" outlineLevel="1" x14ac:dyDescent="0.3">
      <c r="C249" s="231"/>
      <c r="D249" s="738"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39"/>
      <c r="F249" s="740"/>
      <c r="G249" s="680"/>
      <c r="H249" s="681"/>
      <c r="I249" s="682"/>
      <c r="J249" s="243" t="b">
        <v>0</v>
      </c>
      <c r="K249" s="238" t="b">
        <v>0</v>
      </c>
      <c r="L249" s="17" t="str">
        <f t="shared" si="4"/>
        <v/>
      </c>
      <c r="M249" s="10"/>
      <c r="N249" s="10"/>
      <c r="O249" s="10"/>
      <c r="P249" s="10"/>
      <c r="Q249" s="10"/>
    </row>
    <row r="250" spans="3:17" hidden="1" outlineLevel="1" x14ac:dyDescent="0.3">
      <c r="C250" s="231"/>
      <c r="D250" s="738"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39"/>
      <c r="F250" s="740"/>
      <c r="G250" s="680"/>
      <c r="H250" s="681"/>
      <c r="I250" s="682"/>
      <c r="J250" s="243" t="b">
        <v>0</v>
      </c>
      <c r="K250" s="238" t="b">
        <v>0</v>
      </c>
      <c r="L250" s="17" t="str">
        <f t="shared" si="4"/>
        <v/>
      </c>
      <c r="M250" s="10"/>
      <c r="N250" s="10"/>
      <c r="O250" s="10"/>
      <c r="P250" s="10"/>
      <c r="Q250" s="10"/>
    </row>
    <row r="251" spans="3:17" hidden="1" outlineLevel="1" x14ac:dyDescent="0.3">
      <c r="C251" s="231"/>
      <c r="D251" s="738"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39"/>
      <c r="F251" s="740"/>
      <c r="G251" s="680"/>
      <c r="H251" s="681"/>
      <c r="I251" s="682"/>
      <c r="J251" s="243" t="b">
        <v>0</v>
      </c>
      <c r="K251" s="238" t="b">
        <v>0</v>
      </c>
      <c r="L251" s="17" t="str">
        <f t="shared" si="4"/>
        <v/>
      </c>
      <c r="M251" s="10"/>
      <c r="N251" s="10"/>
      <c r="O251" s="10"/>
      <c r="P251" s="10"/>
      <c r="Q251" s="10"/>
    </row>
    <row r="252" spans="3:17" hidden="1" outlineLevel="1" x14ac:dyDescent="0.3">
      <c r="C252" s="231"/>
      <c r="D252" s="738"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39"/>
      <c r="F252" s="740"/>
      <c r="G252" s="680"/>
      <c r="H252" s="681"/>
      <c r="I252" s="682"/>
      <c r="J252" s="243" t="b">
        <v>0</v>
      </c>
      <c r="K252" s="238" t="b">
        <v>0</v>
      </c>
      <c r="L252" s="17" t="str">
        <f t="shared" si="4"/>
        <v/>
      </c>
      <c r="M252" s="10"/>
      <c r="N252" s="10"/>
      <c r="O252" s="10"/>
      <c r="P252" s="10"/>
      <c r="Q252" s="10"/>
    </row>
    <row r="253" spans="3:17" hidden="1" outlineLevel="1" x14ac:dyDescent="0.3">
      <c r="C253" s="231"/>
      <c r="D253" s="738"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39"/>
      <c r="F253" s="740"/>
      <c r="G253" s="680"/>
      <c r="H253" s="681"/>
      <c r="I253" s="682"/>
      <c r="J253" s="243" t="b">
        <v>0</v>
      </c>
      <c r="K253" s="238" t="b">
        <v>0</v>
      </c>
      <c r="L253" s="17" t="str">
        <f t="shared" si="4"/>
        <v/>
      </c>
      <c r="M253" s="10"/>
      <c r="N253" s="10"/>
      <c r="O253" s="10"/>
      <c r="P253" s="10"/>
      <c r="Q253" s="10"/>
    </row>
    <row r="254" spans="3:17" hidden="1" outlineLevel="1" x14ac:dyDescent="0.3">
      <c r="C254" s="231"/>
      <c r="D254" s="738"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39"/>
      <c r="F254" s="740"/>
      <c r="G254" s="680"/>
      <c r="H254" s="681"/>
      <c r="I254" s="682"/>
      <c r="J254" s="243" t="b">
        <v>0</v>
      </c>
      <c r="K254" s="238" t="b">
        <v>0</v>
      </c>
      <c r="L254" s="17" t="str">
        <f t="shared" si="4"/>
        <v/>
      </c>
      <c r="M254" s="10"/>
      <c r="N254" s="10"/>
      <c r="O254" s="10"/>
      <c r="P254" s="10"/>
      <c r="Q254" s="10"/>
    </row>
    <row r="255" spans="3:17" hidden="1" outlineLevel="1" x14ac:dyDescent="0.3">
      <c r="C255" s="231"/>
      <c r="D255" s="738"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39"/>
      <c r="F255" s="740"/>
      <c r="G255" s="680"/>
      <c r="H255" s="681"/>
      <c r="I255" s="682"/>
      <c r="J255" s="243" t="b">
        <v>0</v>
      </c>
      <c r="K255" s="238" t="b">
        <v>0</v>
      </c>
      <c r="L255" s="17" t="str">
        <f t="shared" si="4"/>
        <v/>
      </c>
      <c r="M255" s="10"/>
      <c r="N255" s="10"/>
      <c r="O255" s="10"/>
      <c r="P255" s="10"/>
      <c r="Q255" s="10"/>
    </row>
    <row r="256" spans="3:17" hidden="1" outlineLevel="1" x14ac:dyDescent="0.3">
      <c r="C256" s="231"/>
      <c r="D256" s="738"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39"/>
      <c r="F256" s="740"/>
      <c r="G256" s="680"/>
      <c r="H256" s="681"/>
      <c r="I256" s="682"/>
      <c r="J256" s="243" t="b">
        <v>0</v>
      </c>
      <c r="K256" s="238" t="b">
        <v>0</v>
      </c>
      <c r="L256" s="17" t="str">
        <f t="shared" si="4"/>
        <v/>
      </c>
      <c r="M256" s="10"/>
      <c r="N256" s="10"/>
      <c r="O256" s="10"/>
      <c r="P256" s="10"/>
      <c r="Q256" s="10"/>
    </row>
    <row r="257" spans="3:17" hidden="1" outlineLevel="1" x14ac:dyDescent="0.3">
      <c r="C257" s="231"/>
      <c r="D257" s="738"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39"/>
      <c r="F257" s="740"/>
      <c r="G257" s="680"/>
      <c r="H257" s="681"/>
      <c r="I257" s="682"/>
      <c r="J257" s="243" t="b">
        <v>0</v>
      </c>
      <c r="K257" s="238" t="b">
        <v>0</v>
      </c>
      <c r="L257" s="17" t="str">
        <f t="shared" si="4"/>
        <v/>
      </c>
      <c r="M257" s="10"/>
      <c r="N257" s="10"/>
      <c r="O257" s="10"/>
      <c r="P257" s="10"/>
      <c r="Q257" s="10"/>
    </row>
    <row r="258" spans="3:17" hidden="1" outlineLevel="1" x14ac:dyDescent="0.3">
      <c r="C258" s="231"/>
      <c r="D258" s="738"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39"/>
      <c r="F258" s="740"/>
      <c r="G258" s="680"/>
      <c r="H258" s="681"/>
      <c r="I258" s="682"/>
      <c r="J258" s="243" t="b">
        <v>0</v>
      </c>
      <c r="K258" s="238" t="b">
        <v>0</v>
      </c>
      <c r="L258" s="17" t="str">
        <f t="shared" si="4"/>
        <v/>
      </c>
      <c r="M258" s="10"/>
      <c r="N258" s="10"/>
      <c r="O258" s="10"/>
      <c r="P258" s="10"/>
      <c r="Q258" s="10"/>
    </row>
    <row r="259" spans="3:17" hidden="1" outlineLevel="1" x14ac:dyDescent="0.3">
      <c r="C259" s="231"/>
      <c r="D259" s="738"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39"/>
      <c r="F259" s="740"/>
      <c r="G259" s="680"/>
      <c r="H259" s="681"/>
      <c r="I259" s="682"/>
      <c r="J259" s="243" t="b">
        <v>0</v>
      </c>
      <c r="K259" s="238" t="b">
        <v>0</v>
      </c>
      <c r="L259" s="17" t="str">
        <f t="shared" si="4"/>
        <v/>
      </c>
      <c r="M259" s="10"/>
      <c r="N259" s="10"/>
      <c r="O259" s="10"/>
      <c r="P259" s="10"/>
      <c r="Q259" s="10"/>
    </row>
    <row r="260" spans="3:17" hidden="1" outlineLevel="1" x14ac:dyDescent="0.3">
      <c r="C260" s="231"/>
      <c r="D260" s="738"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39"/>
      <c r="F260" s="740"/>
      <c r="G260" s="680"/>
      <c r="H260" s="681"/>
      <c r="I260" s="682"/>
      <c r="J260" s="243" t="b">
        <v>0</v>
      </c>
      <c r="K260" s="238" t="b">
        <v>0</v>
      </c>
      <c r="L260" s="17" t="str">
        <f t="shared" si="4"/>
        <v/>
      </c>
      <c r="M260" s="10"/>
      <c r="N260" s="10"/>
      <c r="O260" s="10"/>
      <c r="P260" s="10"/>
      <c r="Q260" s="10"/>
    </row>
    <row r="261" spans="3:17" hidden="1" outlineLevel="1" x14ac:dyDescent="0.3">
      <c r="C261" s="231"/>
      <c r="D261" s="738"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39"/>
      <c r="F261" s="740"/>
      <c r="G261" s="680"/>
      <c r="H261" s="681"/>
      <c r="I261" s="682"/>
      <c r="J261" s="243" t="b">
        <v>0</v>
      </c>
      <c r="K261" s="238" t="b">
        <v>0</v>
      </c>
      <c r="L261" s="17" t="str">
        <f t="shared" si="4"/>
        <v/>
      </c>
      <c r="M261" s="10"/>
      <c r="N261" s="10"/>
      <c r="O261" s="10"/>
      <c r="P261" s="10"/>
      <c r="Q261" s="10"/>
    </row>
    <row r="262" spans="3:17" hidden="1" outlineLevel="1" x14ac:dyDescent="0.3">
      <c r="C262" s="231"/>
      <c r="D262" s="738"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39"/>
      <c r="F262" s="740"/>
      <c r="G262" s="680"/>
      <c r="H262" s="681"/>
      <c r="I262" s="682"/>
      <c r="J262" s="243" t="b">
        <v>0</v>
      </c>
      <c r="K262" s="238" t="b">
        <v>0</v>
      </c>
      <c r="L262" s="17" t="str">
        <f t="shared" si="4"/>
        <v/>
      </c>
      <c r="M262" s="10"/>
      <c r="N262" s="10"/>
      <c r="O262" s="10"/>
      <c r="P262" s="10"/>
      <c r="Q262" s="10"/>
    </row>
    <row r="263" spans="3:17" hidden="1" outlineLevel="1" x14ac:dyDescent="0.3">
      <c r="C263" s="231"/>
      <c r="D263" s="738"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39"/>
      <c r="F263" s="740"/>
      <c r="G263" s="680"/>
      <c r="H263" s="681"/>
      <c r="I263" s="682"/>
      <c r="J263" s="243" t="b">
        <v>0</v>
      </c>
      <c r="K263" s="238" t="b">
        <v>0</v>
      </c>
      <c r="L263" s="17" t="str">
        <f t="shared" si="4"/>
        <v/>
      </c>
      <c r="M263" s="10"/>
      <c r="N263" s="10"/>
      <c r="O263" s="10"/>
      <c r="P263" s="10"/>
      <c r="Q263" s="10"/>
    </row>
    <row r="264" spans="3:17" hidden="1" outlineLevel="1" x14ac:dyDescent="0.3">
      <c r="C264" s="231"/>
      <c r="D264" s="738"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39"/>
      <c r="F264" s="740"/>
      <c r="G264" s="680"/>
      <c r="H264" s="681"/>
      <c r="I264" s="682"/>
      <c r="J264" s="243" t="b">
        <v>0</v>
      </c>
      <c r="K264" s="238" t="b">
        <v>0</v>
      </c>
      <c r="L264" s="17" t="str">
        <f t="shared" si="4"/>
        <v/>
      </c>
      <c r="M264" s="10"/>
      <c r="N264" s="10"/>
      <c r="O264" s="10"/>
      <c r="P264" s="10"/>
      <c r="Q264" s="10"/>
    </row>
    <row r="265" spans="3:17" hidden="1" outlineLevel="1" x14ac:dyDescent="0.3">
      <c r="C265" s="231"/>
      <c r="D265" s="738"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39"/>
      <c r="F265" s="740"/>
      <c r="G265" s="680"/>
      <c r="H265" s="681"/>
      <c r="I265" s="682"/>
      <c r="J265" s="243" t="b">
        <v>0</v>
      </c>
      <c r="K265" s="238" t="b">
        <v>0</v>
      </c>
      <c r="L265" s="17" t="str">
        <f t="shared" si="4"/>
        <v/>
      </c>
      <c r="M265" s="10"/>
      <c r="N265" s="10"/>
      <c r="O265" s="10"/>
      <c r="P265" s="10"/>
      <c r="Q265" s="10"/>
    </row>
    <row r="266" spans="3:17" hidden="1" outlineLevel="1" x14ac:dyDescent="0.3">
      <c r="C266" s="231"/>
      <c r="D266" s="738"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39"/>
      <c r="F266" s="740"/>
      <c r="G266" s="680"/>
      <c r="H266" s="681"/>
      <c r="I266" s="682"/>
      <c r="J266" s="243" t="b">
        <v>0</v>
      </c>
      <c r="K266" s="238" t="b">
        <v>0</v>
      </c>
      <c r="L266" s="17" t="str">
        <f t="shared" si="4"/>
        <v/>
      </c>
      <c r="M266" s="10"/>
      <c r="N266" s="10"/>
      <c r="O266" s="10"/>
      <c r="P266" s="10"/>
      <c r="Q266" s="10"/>
    </row>
    <row r="267" spans="3:17" hidden="1" outlineLevel="1" x14ac:dyDescent="0.3">
      <c r="C267" s="231"/>
      <c r="D267" s="738"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39"/>
      <c r="F267" s="740"/>
      <c r="G267" s="680"/>
      <c r="H267" s="681"/>
      <c r="I267" s="682"/>
      <c r="J267" s="243" t="b">
        <v>0</v>
      </c>
      <c r="K267" s="238" t="b">
        <v>0</v>
      </c>
      <c r="L267" s="17" t="str">
        <f t="shared" si="4"/>
        <v/>
      </c>
      <c r="M267" s="10"/>
      <c r="N267" s="10"/>
      <c r="O267" s="10"/>
      <c r="P267" s="10"/>
      <c r="Q267" s="10"/>
    </row>
    <row r="268" spans="3:17" hidden="1" outlineLevel="1" x14ac:dyDescent="0.3">
      <c r="C268" s="231"/>
      <c r="D268" s="738"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39"/>
      <c r="F268" s="740"/>
      <c r="G268" s="680"/>
      <c r="H268" s="681"/>
      <c r="I268" s="682"/>
      <c r="J268" s="243" t="b">
        <v>0</v>
      </c>
      <c r="K268" s="238" t="b">
        <v>0</v>
      </c>
      <c r="L268" s="17" t="str">
        <f t="shared" si="4"/>
        <v/>
      </c>
      <c r="M268" s="10"/>
      <c r="N268" s="10"/>
      <c r="O268" s="10"/>
      <c r="P268" s="10"/>
      <c r="Q268" s="10"/>
    </row>
    <row r="269" spans="3:17" hidden="1" outlineLevel="1" x14ac:dyDescent="0.3">
      <c r="C269" s="231"/>
      <c r="D269" s="738"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39"/>
      <c r="F269" s="740"/>
      <c r="G269" s="680"/>
      <c r="H269" s="681"/>
      <c r="I269" s="682"/>
      <c r="J269" s="243" t="b">
        <v>0</v>
      </c>
      <c r="K269" s="238" t="b">
        <v>0</v>
      </c>
      <c r="L269" s="17" t="str">
        <f t="shared" si="4"/>
        <v/>
      </c>
      <c r="M269" s="10"/>
      <c r="N269" s="10"/>
      <c r="O269" s="10"/>
      <c r="P269" s="10"/>
      <c r="Q269" s="10"/>
    </row>
    <row r="270" spans="3:17" hidden="1" outlineLevel="1" x14ac:dyDescent="0.3">
      <c r="C270" s="231"/>
      <c r="D270" s="738"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39"/>
      <c r="F270" s="740"/>
      <c r="G270" s="680"/>
      <c r="H270" s="681"/>
      <c r="I270" s="682"/>
      <c r="J270" s="243" t="b">
        <v>0</v>
      </c>
      <c r="K270" s="238" t="b">
        <v>0</v>
      </c>
      <c r="L270" s="17" t="str">
        <f t="shared" si="4"/>
        <v/>
      </c>
      <c r="M270" s="10"/>
      <c r="N270" s="10"/>
      <c r="O270" s="10"/>
      <c r="P270" s="10"/>
      <c r="Q270" s="10"/>
    </row>
    <row r="271" spans="3:17" hidden="1" outlineLevel="1" x14ac:dyDescent="0.3">
      <c r="C271" s="231"/>
      <c r="D271" s="738"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39"/>
      <c r="F271" s="740"/>
      <c r="G271" s="680"/>
      <c r="H271" s="681"/>
      <c r="I271" s="682"/>
      <c r="J271" s="243" t="b">
        <v>0</v>
      </c>
      <c r="K271" s="238" t="b">
        <v>0</v>
      </c>
      <c r="L271" s="17" t="str">
        <f t="shared" si="4"/>
        <v/>
      </c>
      <c r="M271" s="10"/>
      <c r="N271" s="10"/>
      <c r="O271" s="10"/>
      <c r="P271" s="10"/>
      <c r="Q271" s="10"/>
    </row>
    <row r="272" spans="3:17" hidden="1" outlineLevel="1" x14ac:dyDescent="0.3">
      <c r="C272" s="231"/>
      <c r="D272" s="738"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39"/>
      <c r="F272" s="740"/>
      <c r="G272" s="680"/>
      <c r="H272" s="681"/>
      <c r="I272" s="682"/>
      <c r="J272" s="243" t="b">
        <v>0</v>
      </c>
      <c r="K272" s="238" t="b">
        <v>0</v>
      </c>
      <c r="L272" s="17" t="str">
        <f t="shared" si="4"/>
        <v/>
      </c>
      <c r="M272" s="10"/>
      <c r="N272" s="10"/>
      <c r="O272" s="10"/>
      <c r="P272" s="10"/>
      <c r="Q272" s="10"/>
    </row>
    <row r="273" spans="3:17" hidden="1" outlineLevel="1" x14ac:dyDescent="0.3">
      <c r="C273" s="231"/>
      <c r="D273" s="738"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39"/>
      <c r="F273" s="740"/>
      <c r="G273" s="680"/>
      <c r="H273" s="681"/>
      <c r="I273" s="682"/>
      <c r="J273" s="243" t="b">
        <v>0</v>
      </c>
      <c r="K273" s="238" t="b">
        <v>0</v>
      </c>
      <c r="L273" s="17" t="str">
        <f t="shared" si="4"/>
        <v/>
      </c>
      <c r="M273" s="10"/>
      <c r="N273" s="10"/>
      <c r="O273" s="10"/>
      <c r="P273" s="10"/>
      <c r="Q273" s="10"/>
    </row>
    <row r="274" spans="3:17" hidden="1" outlineLevel="1" x14ac:dyDescent="0.3">
      <c r="C274" s="231"/>
      <c r="D274" s="738"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39"/>
      <c r="F274" s="740"/>
      <c r="G274" s="680"/>
      <c r="H274" s="681"/>
      <c r="I274" s="682"/>
      <c r="J274" s="243" t="b">
        <v>0</v>
      </c>
      <c r="K274" s="238" t="b">
        <v>0</v>
      </c>
      <c r="L274" s="17" t="str">
        <f t="shared" si="4"/>
        <v/>
      </c>
      <c r="M274" s="10"/>
      <c r="N274" s="10"/>
      <c r="O274" s="10"/>
      <c r="P274" s="10"/>
      <c r="Q274" s="10"/>
    </row>
    <row r="275" spans="3:17" hidden="1" outlineLevel="1" x14ac:dyDescent="0.3">
      <c r="C275" s="231"/>
      <c r="D275" s="738"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39"/>
      <c r="F275" s="740"/>
      <c r="G275" s="680"/>
      <c r="H275" s="681"/>
      <c r="I275" s="682"/>
      <c r="J275" s="243" t="b">
        <v>0</v>
      </c>
      <c r="K275" s="238" t="b">
        <v>0</v>
      </c>
      <c r="L275" s="17" t="str">
        <f t="shared" si="4"/>
        <v/>
      </c>
      <c r="M275" s="10"/>
      <c r="N275" s="10"/>
      <c r="O275" s="10"/>
      <c r="P275" s="10"/>
      <c r="Q275" s="10"/>
    </row>
    <row r="276" spans="3:17" hidden="1" outlineLevel="1" x14ac:dyDescent="0.3">
      <c r="C276" s="231"/>
      <c r="D276" s="738"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39"/>
      <c r="F276" s="740"/>
      <c r="G276" s="680"/>
      <c r="H276" s="681"/>
      <c r="I276" s="682"/>
      <c r="J276" s="243" t="b">
        <v>0</v>
      </c>
      <c r="K276" s="238" t="b">
        <v>0</v>
      </c>
      <c r="L276" s="17" t="str">
        <f t="shared" si="4"/>
        <v/>
      </c>
      <c r="M276" s="10"/>
      <c r="N276" s="10"/>
      <c r="O276" s="10"/>
      <c r="P276" s="10"/>
      <c r="Q276" s="10"/>
    </row>
    <row r="277" spans="3:17" hidden="1" outlineLevel="1" x14ac:dyDescent="0.3">
      <c r="C277" s="231"/>
      <c r="D277" s="738"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39"/>
      <c r="F277" s="740"/>
      <c r="G277" s="680"/>
      <c r="H277" s="681"/>
      <c r="I277" s="682"/>
      <c r="J277" s="243" t="b">
        <v>0</v>
      </c>
      <c r="K277" s="238" t="b">
        <v>0</v>
      </c>
      <c r="L277" s="17" t="str">
        <f t="shared" si="4"/>
        <v/>
      </c>
      <c r="M277" s="10"/>
      <c r="N277" s="10"/>
      <c r="O277" s="10"/>
      <c r="P277" s="10"/>
      <c r="Q277" s="10"/>
    </row>
    <row r="278" spans="3:17" hidden="1" outlineLevel="1" x14ac:dyDescent="0.3">
      <c r="C278" s="231"/>
      <c r="D278" s="738"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39"/>
      <c r="F278" s="740"/>
      <c r="G278" s="680"/>
      <c r="H278" s="681"/>
      <c r="I278" s="682"/>
      <c r="J278" s="243" t="b">
        <v>0</v>
      </c>
      <c r="K278" s="238" t="b">
        <v>0</v>
      </c>
      <c r="L278" s="17" t="str">
        <f t="shared" si="4"/>
        <v/>
      </c>
      <c r="M278" s="10"/>
      <c r="N278" s="10"/>
      <c r="O278" s="10"/>
      <c r="P278" s="10"/>
      <c r="Q278" s="10"/>
    </row>
    <row r="279" spans="3:17" hidden="1" outlineLevel="1" x14ac:dyDescent="0.3">
      <c r="C279" s="231"/>
      <c r="D279" s="738"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39"/>
      <c r="F279" s="740"/>
      <c r="G279" s="680"/>
      <c r="H279" s="681"/>
      <c r="I279" s="682"/>
      <c r="J279" s="243" t="b">
        <v>0</v>
      </c>
      <c r="K279" s="238" t="b">
        <v>0</v>
      </c>
      <c r="L279" s="17" t="str">
        <f t="shared" si="4"/>
        <v/>
      </c>
      <c r="M279" s="10"/>
      <c r="N279" s="10"/>
      <c r="O279" s="10"/>
      <c r="P279" s="10"/>
      <c r="Q279" s="10"/>
    </row>
    <row r="280" spans="3:17" hidden="1" outlineLevel="1" x14ac:dyDescent="0.3">
      <c r="C280" s="231"/>
      <c r="D280" s="738"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39"/>
      <c r="F280" s="740"/>
      <c r="G280" s="680"/>
      <c r="H280" s="681"/>
      <c r="I280" s="682"/>
      <c r="J280" s="243" t="b">
        <v>0</v>
      </c>
      <c r="K280" s="238" t="b">
        <v>0</v>
      </c>
      <c r="L280" s="17" t="str">
        <f t="shared" si="4"/>
        <v/>
      </c>
      <c r="M280" s="10"/>
      <c r="N280" s="10"/>
      <c r="O280" s="10"/>
      <c r="P280" s="10"/>
      <c r="Q280" s="10"/>
    </row>
    <row r="281" spans="3:17" hidden="1" outlineLevel="1" x14ac:dyDescent="0.3">
      <c r="C281" s="231"/>
      <c r="D281" s="738"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39"/>
      <c r="F281" s="740"/>
      <c r="G281" s="680"/>
      <c r="H281" s="681"/>
      <c r="I281" s="682"/>
      <c r="J281" s="243" t="b">
        <v>0</v>
      </c>
      <c r="K281" s="238" t="b">
        <v>0</v>
      </c>
      <c r="L281" s="17" t="str">
        <f t="shared" si="4"/>
        <v/>
      </c>
      <c r="M281" s="10"/>
      <c r="N281" s="10"/>
      <c r="O281" s="10"/>
      <c r="P281" s="10"/>
      <c r="Q281" s="10"/>
    </row>
    <row r="282" spans="3:17" hidden="1" outlineLevel="1" x14ac:dyDescent="0.3">
      <c r="C282" s="231"/>
      <c r="D282" s="738"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39"/>
      <c r="F282" s="740"/>
      <c r="G282" s="680"/>
      <c r="H282" s="681"/>
      <c r="I282" s="682"/>
      <c r="J282" s="243" t="b">
        <v>0</v>
      </c>
      <c r="K282" s="238" t="b">
        <v>0</v>
      </c>
      <c r="L282" s="17" t="str">
        <f t="shared" si="4"/>
        <v/>
      </c>
      <c r="M282" s="10"/>
      <c r="N282" s="10"/>
      <c r="O282" s="10"/>
      <c r="P282" s="10"/>
      <c r="Q282" s="10"/>
    </row>
    <row r="283" spans="3:17" hidden="1" outlineLevel="1" x14ac:dyDescent="0.3">
      <c r="C283" s="231"/>
      <c r="D283" s="738"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39"/>
      <c r="F283" s="740"/>
      <c r="G283" s="680"/>
      <c r="H283" s="681"/>
      <c r="I283" s="682"/>
      <c r="J283" s="243" t="b">
        <v>0</v>
      </c>
      <c r="K283" s="238" t="b">
        <v>0</v>
      </c>
      <c r="L283" s="17" t="str">
        <f t="shared" si="4"/>
        <v/>
      </c>
      <c r="M283" s="10"/>
      <c r="N283" s="10"/>
      <c r="O283" s="10"/>
      <c r="P283" s="10"/>
      <c r="Q283" s="10"/>
    </row>
    <row r="284" spans="3:17" hidden="1" outlineLevel="1" x14ac:dyDescent="0.3">
      <c r="C284" s="231"/>
      <c r="D284" s="738"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39"/>
      <c r="F284" s="740"/>
      <c r="G284" s="680"/>
      <c r="H284" s="681"/>
      <c r="I284" s="682"/>
      <c r="J284" s="243" t="b">
        <v>0</v>
      </c>
      <c r="K284" s="238" t="b">
        <v>0</v>
      </c>
      <c r="L284" s="17" t="str">
        <f t="shared" si="4"/>
        <v/>
      </c>
      <c r="M284" s="10"/>
      <c r="N284" s="10"/>
      <c r="O284" s="10"/>
      <c r="P284" s="10"/>
      <c r="Q284" s="10"/>
    </row>
    <row r="285" spans="3:17" hidden="1" outlineLevel="1" x14ac:dyDescent="0.3">
      <c r="C285" s="231"/>
      <c r="D285" s="738"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39"/>
      <c r="F285" s="740"/>
      <c r="G285" s="680"/>
      <c r="H285" s="681"/>
      <c r="I285" s="682"/>
      <c r="J285" s="243" t="b">
        <v>0</v>
      </c>
      <c r="K285" s="238" t="b">
        <v>0</v>
      </c>
      <c r="L285" s="17" t="str">
        <f t="shared" si="4"/>
        <v/>
      </c>
      <c r="M285" s="10"/>
      <c r="N285" s="10"/>
      <c r="O285" s="10"/>
      <c r="P285" s="10"/>
      <c r="Q285" s="10"/>
    </row>
    <row r="286" spans="3:17" hidden="1" outlineLevel="1" x14ac:dyDescent="0.3">
      <c r="C286" s="231"/>
      <c r="D286" s="738"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39"/>
      <c r="F286" s="740"/>
      <c r="G286" s="929"/>
      <c r="H286" s="681"/>
      <c r="I286" s="682"/>
      <c r="J286" s="243" t="b">
        <v>0</v>
      </c>
      <c r="K286" s="238" t="b">
        <v>0</v>
      </c>
      <c r="L286" s="17" t="str">
        <f t="shared" si="4"/>
        <v/>
      </c>
      <c r="M286" s="10"/>
      <c r="N286" s="10"/>
      <c r="O286" s="10"/>
      <c r="P286" s="10"/>
      <c r="Q286" s="10"/>
    </row>
    <row r="287" spans="3:17" ht="15" hidden="1" outlineLevel="1" thickBot="1" x14ac:dyDescent="0.35">
      <c r="C287" s="234"/>
      <c r="D287" s="738"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39"/>
      <c r="F287" s="740"/>
      <c r="G287" s="927"/>
      <c r="H287" s="883"/>
      <c r="I287" s="928"/>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760" t="str">
        <f>template_label_b5_biodiversity_land_use&amp;" "&amp;template_label_from&amp;" "&amp;template_starting_date_display&amp;" "&amp;template_label_to&amp;" "&amp;template_ending_date_display&amp;" " &amp; template_label_may</f>
        <v>B5 - Biodiversity - Land-use from - to - [May (optional)]</v>
      </c>
      <c r="D289" s="761"/>
      <c r="E289" s="761"/>
      <c r="F289" s="762"/>
    </row>
    <row r="290" spans="3:12" x14ac:dyDescent="0.3">
      <c r="C290" s="763">
        <v>34</v>
      </c>
      <c r="D290" s="764"/>
      <c r="E290" s="764"/>
      <c r="F290" s="765"/>
    </row>
    <row r="291" spans="3:12" x14ac:dyDescent="0.3">
      <c r="C291" s="694" t="s">
        <v>5650</v>
      </c>
      <c r="D291" s="695"/>
      <c r="E291" s="695"/>
      <c r="F291" s="696"/>
    </row>
    <row r="292" spans="3:12" ht="16.95" customHeight="1" x14ac:dyDescent="0.3">
      <c r="C292" s="925" t="str">
        <f>template_label_please_select_the_unit_used_for_the_area</f>
        <v>Please select the unit used for the area (i.e. either hectares or m²):</v>
      </c>
      <c r="D292" s="837"/>
      <c r="E292" s="837"/>
      <c r="F292" s="914"/>
    </row>
    <row r="293" spans="3:12" x14ac:dyDescent="0.3">
      <c r="C293" s="926"/>
      <c r="D293" s="635"/>
      <c r="E293" s="635"/>
      <c r="F293" s="636"/>
      <c r="G293" s="16" t="str">
        <f>IF(C293&lt;&gt;"", template_label_ok, IF(AND(OR(D295&lt;&gt;"", D296&lt;&gt;"", D297&lt;&gt;"", D298&lt;&gt;""), C293=""), template_label_missing_value, ""))</f>
        <v/>
      </c>
      <c r="H293" s="122"/>
      <c r="K293" s="16"/>
    </row>
    <row r="294" spans="3:12" x14ac:dyDescent="0.3">
      <c r="C294" s="123" t="str">
        <f>template_label_land_use_type</f>
        <v>Land-use type</v>
      </c>
      <c r="D294" s="837" t="str">
        <f>template_label_area</f>
        <v>Area</v>
      </c>
      <c r="E294" s="837"/>
      <c r="F294" s="914"/>
      <c r="G294" s="16"/>
      <c r="H294" s="122"/>
      <c r="K294" s="16"/>
    </row>
    <row r="295" spans="3:12" x14ac:dyDescent="0.3">
      <c r="C295" s="126" t="str">
        <f>template_label_total_sealed_area</f>
        <v>Total sealed area</v>
      </c>
      <c r="D295" s="878"/>
      <c r="E295" s="878"/>
      <c r="F295" s="879"/>
      <c r="G295" s="718" t="str">
        <f>IF(AND(G293=template_label_ok, COUNTIF(D295:F298,"&lt;&gt;")&gt;0),
    template_label_ok,
    IF(AND(G293=template_label_ok, COUNTA(D295:F298)=0),
        template_label_missing_value,
        IF(AND(G293=template_label_missing_value, COUNTIF(D295:F298,"&lt;&gt;")&gt;0),
            template_label_value_inconsistency,
            ""
        )
    )
)</f>
        <v/>
      </c>
      <c r="H295" s="125"/>
      <c r="K295" s="16"/>
    </row>
    <row r="296" spans="3:12" x14ac:dyDescent="0.3">
      <c r="C296" s="126" t="str">
        <f>template_label_total_nature_oriented_area_on_site</f>
        <v>Total nature-oriented area on-site</v>
      </c>
      <c r="D296" s="878"/>
      <c r="E296" s="878"/>
      <c r="F296" s="879"/>
      <c r="G296" s="718"/>
      <c r="H296" s="125"/>
      <c r="K296" s="16"/>
    </row>
    <row r="297" spans="3:12" x14ac:dyDescent="0.3">
      <c r="C297" s="126" t="str">
        <f>template_label_total_nature_oriented_area_off_site</f>
        <v>Total nature-oriented area off-site</v>
      </c>
      <c r="D297" s="878"/>
      <c r="E297" s="878"/>
      <c r="F297" s="879"/>
      <c r="G297" s="718"/>
      <c r="H297" s="125"/>
      <c r="K297" s="16"/>
    </row>
    <row r="298" spans="3:12" ht="15" thickBot="1" x14ac:dyDescent="0.35">
      <c r="C298" s="113" t="str">
        <f>template_label_total_use_of_land</f>
        <v>Total use of land</v>
      </c>
      <c r="D298" s="922"/>
      <c r="E298" s="922"/>
      <c r="F298" s="923"/>
      <c r="G298" s="718"/>
      <c r="H298" s="125"/>
      <c r="K298" s="16"/>
    </row>
    <row r="299" spans="3:12" ht="15" thickBot="1" x14ac:dyDescent="0.35"/>
    <row r="300" spans="3:12" x14ac:dyDescent="0.3">
      <c r="C300" s="546" t="str">
        <f>template_label_b6_water_withdrawal&amp;" "&amp;template_label_from&amp;" "&amp;template_starting_date_display&amp;" "&amp;template_label_to&amp;" "&amp;template_ending_date_display&amp;" "&amp;template_label_always_to_be_reported</f>
        <v>B6 - Water Withdrawal from - to - [Always to be reported]</v>
      </c>
      <c r="D300" s="935"/>
      <c r="E300" s="15"/>
      <c r="F300" s="15"/>
      <c r="G300" s="16"/>
      <c r="H300" s="16"/>
      <c r="I300" s="16"/>
      <c r="K300" s="16"/>
    </row>
    <row r="301" spans="3:12" x14ac:dyDescent="0.3">
      <c r="C301" s="534">
        <v>35</v>
      </c>
      <c r="D301" s="898"/>
      <c r="E301" s="127"/>
      <c r="F301" s="127"/>
      <c r="G301" s="16"/>
      <c r="H301" s="16"/>
      <c r="I301" s="16"/>
    </row>
    <row r="302" spans="3:12" x14ac:dyDescent="0.3">
      <c r="C302" s="933" t="s">
        <v>9538</v>
      </c>
      <c r="D302" s="934"/>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c r="E303" s="943" t="str">
        <f>IF(
    AND(
        OR(
            'General Information'!E122="Option A (Basic Module only)",
            'General Information'!E122="Option B (Basic Module and Comprehensive Module)"
        ),
        TotalAmountOfWaterWithdrawnFromAllSites=""
    ),
    template_label_missing_value,
    IF('General Information'!E122="", "", template_label_ok)
)</f>
        <v/>
      </c>
      <c r="F303" s="943"/>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c r="E304" s="924" t="str">
        <f>IF(
    AND(
        OR(
            'General Information'!E122="Option A (Basic Module only)",
            'General Information'!E122="Option B (Basic Module and Comprehensive Module)"
        ),
        AmountOfWaterWithdrawnAtSitesLocatedInAreasOfHighWaterStress=""
    ),
    template_label_missing_value,
    IF('General Information'!E122="", "", template_label_ok)
)</f>
        <v/>
      </c>
      <c r="F304" s="924"/>
      <c r="G304" s="16"/>
      <c r="H304" s="16"/>
      <c r="I304" s="16"/>
    </row>
    <row r="305" spans="3:12" ht="15" thickBot="1" x14ac:dyDescent="0.35">
      <c r="K305" s="38"/>
    </row>
    <row r="306" spans="3:12" x14ac:dyDescent="0.3">
      <c r="C306" s="546" t="str">
        <f>template_label_b6_water_consumption&amp;" "&amp;template_label_from&amp;" "&amp;template_starting_date_display&amp;" "&amp;template_label_to&amp;" "&amp;template_ending_date_display&amp;" "&amp;template_label_if_applicable</f>
        <v>B6 - Water Consumption from - to - [If applicable]</v>
      </c>
      <c r="D306" s="935"/>
      <c r="E306" s="15"/>
      <c r="F306" s="15"/>
    </row>
    <row r="307" spans="3:12" x14ac:dyDescent="0.3">
      <c r="C307" s="763">
        <v>36</v>
      </c>
      <c r="D307" s="765"/>
      <c r="E307" s="127"/>
      <c r="F307" s="127"/>
    </row>
    <row r="308" spans="3:12" x14ac:dyDescent="0.3">
      <c r="C308" s="649" t="s">
        <v>5651</v>
      </c>
      <c r="D308" s="651"/>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0</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c r="E310" s="924" t="str">
        <f>IF(
    AND(D309=TRUE, D310=""),
    template_label_missing_value,
    IF(AND(D309=TRUE, D310&lt;&gt;""),
        template_label_ok,
        ""
    )
)</f>
        <v/>
      </c>
      <c r="F310" s="924"/>
      <c r="G310" s="16"/>
      <c r="H310" s="16"/>
      <c r="I310" s="16"/>
    </row>
    <row r="311" spans="3:12" ht="21" customHeight="1" thickBot="1" x14ac:dyDescent="0.35">
      <c r="C311" s="132" t="str">
        <f>template_label_total_water_consumption</f>
        <v>Total water consumption (m³)</v>
      </c>
      <c r="D311" s="291" t="str">
        <f>IF(D310&lt;&gt;"",$D$303-$D$310,"-")</f>
        <v>-</v>
      </c>
      <c r="E311" s="133"/>
      <c r="F311" s="133"/>
    </row>
    <row r="312" spans="3:12" ht="15" thickBot="1" x14ac:dyDescent="0.35"/>
    <row r="313" spans="3:12" x14ac:dyDescent="0.3">
      <c r="C313" s="760"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761"/>
      <c r="E313" s="931"/>
      <c r="F313" s="931"/>
      <c r="G313" s="762"/>
      <c r="H313" s="16"/>
      <c r="I313" s="16"/>
    </row>
    <row r="314" spans="3:12" x14ac:dyDescent="0.3">
      <c r="C314" s="763">
        <v>37</v>
      </c>
      <c r="D314" s="764"/>
      <c r="E314" s="932"/>
      <c r="F314" s="932"/>
      <c r="G314" s="765"/>
      <c r="H314" s="134"/>
      <c r="I314" s="134"/>
    </row>
    <row r="315" spans="3:12" x14ac:dyDescent="0.3">
      <c r="C315" s="694">
        <v>94</v>
      </c>
      <c r="D315" s="695"/>
      <c r="E315" s="593"/>
      <c r="F315" s="593"/>
      <c r="G315" s="696"/>
      <c r="H315" s="135"/>
      <c r="I315" s="135"/>
    </row>
    <row r="316" spans="3:12" x14ac:dyDescent="0.3">
      <c r="C316" s="97" t="str">
        <f>template_label_undertaking_applies_circular_economy_principles</f>
        <v>Undertaking applies circular economy principles</v>
      </c>
      <c r="D316" s="875"/>
      <c r="E316" s="876"/>
      <c r="F316" s="876"/>
      <c r="G316" s="877"/>
      <c r="H316" s="874" t="str">
        <f>IF(
    AND(
        OR(
            'General Information'!E122="Option A (Basic Module only)",
            'General Information'!E122="Option B (Basic Module and Comprehensive Module)"
        ),
        UndertakingAppliesCircularEconomyPrinciples=""
    ),
    template_label_missing_value,
    IF('General Information'!E122="", "", template_label_ok)
)</f>
        <v/>
      </c>
      <c r="I316" s="549"/>
      <c r="J316" s="16"/>
    </row>
    <row r="317" spans="3:12" ht="15" thickBot="1" x14ac:dyDescent="0.35">
      <c r="C317" s="116" t="str">
        <f>template_label_description_of_how_it_applies_these_principles</f>
        <v>Description of how it applies these principles</v>
      </c>
      <c r="D317" s="568"/>
      <c r="E317" s="543"/>
      <c r="F317" s="543"/>
      <c r="G317" s="569"/>
      <c r="H317" s="874" t="str">
        <f>IF(
    AND(D316="YES", D317=""),
    template_label_missing_value,
    IF(
        AND(D316="YES", D317&lt;&gt;""),
        template_label_ok,
        IF(
            AND(D316="NO", D317&lt;&gt;""),
            template_label_value_inconsistency,
            ""
        )
    )
)</f>
        <v/>
      </c>
      <c r="I317" s="549"/>
      <c r="J317" s="16"/>
    </row>
    <row r="318" spans="3:12" ht="15" thickBot="1" x14ac:dyDescent="0.35"/>
    <row r="319" spans="3:12" x14ac:dyDescent="0.3">
      <c r="C319" s="760" t="str">
        <f>template_label_b7_waste_generated&amp;" "&amp;template_label_from&amp;" "&amp;template_starting_date_display&amp;" "&amp;template_label_to&amp;" "&amp;template_ending_date_display&amp;" "&amp;template_label_always_to_be_reported</f>
        <v>B7 - Waste generated from - to - [Always to be reported]</v>
      </c>
      <c r="D319" s="761"/>
      <c r="E319" s="761"/>
      <c r="F319" s="761"/>
      <c r="G319" s="761"/>
      <c r="H319" s="761"/>
      <c r="I319" s="761"/>
      <c r="J319" s="761"/>
      <c r="K319" s="761"/>
      <c r="L319" s="762"/>
    </row>
    <row r="320" spans="3:12" x14ac:dyDescent="0.3">
      <c r="C320" s="763" t="s">
        <v>3726</v>
      </c>
      <c r="D320" s="764"/>
      <c r="E320" s="764"/>
      <c r="F320" s="764"/>
      <c r="G320" s="764"/>
      <c r="H320" s="764"/>
      <c r="I320" s="764"/>
      <c r="J320" s="764"/>
      <c r="K320" s="764"/>
      <c r="L320" s="765"/>
    </row>
    <row r="321" spans="3:14" x14ac:dyDescent="0.3">
      <c r="C321" s="694" t="s">
        <v>5652</v>
      </c>
      <c r="D321" s="695"/>
      <c r="E321" s="695"/>
      <c r="F321" s="695"/>
      <c r="G321" s="695"/>
      <c r="H321" s="695"/>
      <c r="I321" s="695"/>
      <c r="J321" s="695"/>
      <c r="K321" s="695"/>
      <c r="L321" s="696"/>
    </row>
    <row r="322" spans="3:14" ht="49.2" customHeight="1" x14ac:dyDescent="0.3">
      <c r="C322" s="136" t="str">
        <f>template_label_row_id</f>
        <v>Row ID</v>
      </c>
      <c r="D322" s="887" t="str">
        <f>template_label_type_of_waste</f>
        <v>Type of waste</v>
      </c>
      <c r="E322" s="887"/>
      <c r="F322" s="887"/>
      <c r="G322" s="889" t="str">
        <f>template_label_unit_of_measurement</f>
        <v>Unit of measurement</v>
      </c>
      <c r="H322" s="889"/>
      <c r="I322" s="889"/>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693"/>
      <c r="E323" s="693"/>
      <c r="F323" s="693"/>
      <c r="G323" s="687"/>
      <c r="H323" s="687"/>
      <c r="I323" s="687"/>
      <c r="J323" s="275"/>
      <c r="K323" s="276"/>
      <c r="L323" s="277" t="str">
        <f>IF(AND(D323="",J323="",K323=""),"-",SUM(J323:K323))</f>
        <v>-</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t="str">
        <f>template_label_type_of_waste_warning</f>
        <v>ℹ️  Please select a Type of waste (Hazardous or Non-Hazardous) rather than a category else an ERROR message will appear.</v>
      </c>
    </row>
    <row r="324" spans="3:14" x14ac:dyDescent="0.3">
      <c r="C324" s="383">
        <v>2</v>
      </c>
      <c r="D324" s="693"/>
      <c r="E324" s="693"/>
      <c r="F324" s="693"/>
      <c r="G324" s="687"/>
      <c r="H324" s="687"/>
      <c r="I324" s="687"/>
      <c r="J324" s="278"/>
      <c r="K324" s="278"/>
      <c r="L324" s="279"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384">
        <v>3</v>
      </c>
      <c r="D325" s="885"/>
      <c r="E325" s="885"/>
      <c r="F325" s="885"/>
      <c r="G325" s="886"/>
      <c r="H325" s="886"/>
      <c r="I325" s="886"/>
      <c r="J325" s="280"/>
      <c r="K325" s="280"/>
      <c r="L325" s="281"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82">
        <v>4</v>
      </c>
      <c r="D326" s="888"/>
      <c r="E326" s="888"/>
      <c r="F326" s="888"/>
      <c r="G326" s="930"/>
      <c r="H326" s="930"/>
      <c r="I326" s="930"/>
      <c r="J326" s="282"/>
      <c r="K326" s="282"/>
      <c r="L326" s="283" t="str">
        <f t="shared" si="5"/>
        <v>-</v>
      </c>
      <c r="M326" s="16" t="str">
        <f t="shared" si="6"/>
        <v/>
      </c>
    </row>
    <row r="327" spans="3:14" hidden="1" outlineLevel="1" x14ac:dyDescent="0.3">
      <c r="C327" s="383">
        <v>5</v>
      </c>
      <c r="D327" s="693"/>
      <c r="E327" s="693"/>
      <c r="F327" s="693"/>
      <c r="G327" s="687"/>
      <c r="H327" s="687"/>
      <c r="I327" s="687"/>
      <c r="J327" s="278"/>
      <c r="K327" s="278"/>
      <c r="L327" s="279" t="str">
        <f t="shared" si="5"/>
        <v>-</v>
      </c>
      <c r="M327" s="16" t="str">
        <f t="shared" si="6"/>
        <v/>
      </c>
    </row>
    <row r="328" spans="3:14" hidden="1" outlineLevel="1" x14ac:dyDescent="0.3">
      <c r="C328" s="383">
        <v>6</v>
      </c>
      <c r="D328" s="693"/>
      <c r="E328" s="693"/>
      <c r="F328" s="693"/>
      <c r="G328" s="687"/>
      <c r="H328" s="687"/>
      <c r="I328" s="687"/>
      <c r="J328" s="278"/>
      <c r="K328" s="278"/>
      <c r="L328" s="279" t="str">
        <f>IF(AND(D328="",J328="",K328=""),"-",SUM(J328:K328))</f>
        <v>-</v>
      </c>
      <c r="M328" s="16" t="str">
        <f t="shared" si="6"/>
        <v/>
      </c>
    </row>
    <row r="329" spans="3:14" hidden="1" outlineLevel="1" x14ac:dyDescent="0.3">
      <c r="C329" s="383">
        <v>7</v>
      </c>
      <c r="D329" s="693"/>
      <c r="E329" s="693"/>
      <c r="F329" s="693"/>
      <c r="G329" s="687"/>
      <c r="H329" s="687"/>
      <c r="I329" s="687"/>
      <c r="J329" s="278"/>
      <c r="K329" s="278"/>
      <c r="L329" s="279" t="str">
        <f>IF(AND(D329="",J329="",K329=""),"-",SUM(J329:K329))</f>
        <v>-</v>
      </c>
      <c r="M329" s="16" t="str">
        <f t="shared" si="6"/>
        <v/>
      </c>
    </row>
    <row r="330" spans="3:14" hidden="1" outlineLevel="1" x14ac:dyDescent="0.3">
      <c r="C330" s="383">
        <v>8</v>
      </c>
      <c r="D330" s="693"/>
      <c r="E330" s="693"/>
      <c r="F330" s="693"/>
      <c r="G330" s="687"/>
      <c r="H330" s="687"/>
      <c r="I330" s="687"/>
      <c r="J330" s="278"/>
      <c r="K330" s="278"/>
      <c r="L330" s="279" t="str">
        <f t="shared" si="5"/>
        <v>-</v>
      </c>
      <c r="M330" s="16" t="str">
        <f t="shared" si="6"/>
        <v/>
      </c>
    </row>
    <row r="331" spans="3:14" hidden="1" outlineLevel="1" x14ac:dyDescent="0.3">
      <c r="C331" s="383">
        <v>9</v>
      </c>
      <c r="D331" s="693"/>
      <c r="E331" s="693"/>
      <c r="F331" s="693"/>
      <c r="G331" s="687"/>
      <c r="H331" s="687"/>
      <c r="I331" s="687"/>
      <c r="J331" s="278"/>
      <c r="K331" s="278"/>
      <c r="L331" s="279" t="str">
        <f t="shared" si="5"/>
        <v>-</v>
      </c>
      <c r="M331" s="16" t="str">
        <f t="shared" si="6"/>
        <v/>
      </c>
    </row>
    <row r="332" spans="3:14" hidden="1" outlineLevel="1" x14ac:dyDescent="0.3">
      <c r="C332" s="383">
        <v>10</v>
      </c>
      <c r="D332" s="693"/>
      <c r="E332" s="693"/>
      <c r="F332" s="693"/>
      <c r="G332" s="687"/>
      <c r="H332" s="687"/>
      <c r="I332" s="687"/>
      <c r="J332" s="278"/>
      <c r="K332" s="278"/>
      <c r="L332" s="279" t="str">
        <f t="shared" si="5"/>
        <v>-</v>
      </c>
      <c r="M332" s="16" t="str">
        <f t="shared" si="6"/>
        <v/>
      </c>
    </row>
    <row r="333" spans="3:14" hidden="1" outlineLevel="1" x14ac:dyDescent="0.3">
      <c r="C333" s="383">
        <v>11</v>
      </c>
      <c r="D333" s="693"/>
      <c r="E333" s="693"/>
      <c r="F333" s="693"/>
      <c r="G333" s="687"/>
      <c r="H333" s="687"/>
      <c r="I333" s="687"/>
      <c r="J333" s="278"/>
      <c r="K333" s="278"/>
      <c r="L333" s="279" t="str">
        <f t="shared" si="5"/>
        <v>-</v>
      </c>
      <c r="M333" s="16" t="str">
        <f t="shared" si="6"/>
        <v/>
      </c>
    </row>
    <row r="334" spans="3:14" hidden="1" outlineLevel="1" x14ac:dyDescent="0.3">
      <c r="C334" s="383">
        <v>12</v>
      </c>
      <c r="D334" s="693"/>
      <c r="E334" s="693"/>
      <c r="F334" s="693"/>
      <c r="G334" s="687"/>
      <c r="H334" s="687"/>
      <c r="I334" s="687"/>
      <c r="J334" s="278"/>
      <c r="K334" s="278"/>
      <c r="L334" s="279" t="str">
        <f t="shared" si="5"/>
        <v>-</v>
      </c>
      <c r="M334" s="16" t="str">
        <f t="shared" si="6"/>
        <v/>
      </c>
    </row>
    <row r="335" spans="3:14" hidden="1" outlineLevel="1" x14ac:dyDescent="0.3">
      <c r="C335" s="383">
        <v>13</v>
      </c>
      <c r="D335" s="693"/>
      <c r="E335" s="693"/>
      <c r="F335" s="693"/>
      <c r="G335" s="687"/>
      <c r="H335" s="687"/>
      <c r="I335" s="687"/>
      <c r="J335" s="278"/>
      <c r="K335" s="278"/>
      <c r="L335" s="279" t="str">
        <f t="shared" si="5"/>
        <v>-</v>
      </c>
      <c r="M335" s="16" t="str">
        <f t="shared" si="6"/>
        <v/>
      </c>
    </row>
    <row r="336" spans="3:14" hidden="1" outlineLevel="1" x14ac:dyDescent="0.3">
      <c r="C336" s="383">
        <v>14</v>
      </c>
      <c r="D336" s="693"/>
      <c r="E336" s="693"/>
      <c r="F336" s="693"/>
      <c r="G336" s="687"/>
      <c r="H336" s="687"/>
      <c r="I336" s="687"/>
      <c r="J336" s="278"/>
      <c r="K336" s="278"/>
      <c r="L336" s="279" t="str">
        <f t="shared" si="5"/>
        <v>-</v>
      </c>
      <c r="M336" s="16" t="str">
        <f t="shared" si="6"/>
        <v/>
      </c>
    </row>
    <row r="337" spans="3:13" hidden="1" outlineLevel="1" x14ac:dyDescent="0.3">
      <c r="C337" s="383">
        <v>15</v>
      </c>
      <c r="D337" s="693"/>
      <c r="E337" s="693"/>
      <c r="F337" s="693"/>
      <c r="G337" s="687"/>
      <c r="H337" s="687"/>
      <c r="I337" s="687"/>
      <c r="J337" s="469"/>
      <c r="K337" s="469"/>
      <c r="L337" s="279" t="str">
        <f t="shared" si="5"/>
        <v>-</v>
      </c>
      <c r="M337" s="16" t="str">
        <f t="shared" si="6"/>
        <v/>
      </c>
    </row>
    <row r="338" spans="3:13" hidden="1" outlineLevel="1" x14ac:dyDescent="0.3">
      <c r="C338" s="383">
        <v>16</v>
      </c>
      <c r="D338" s="693"/>
      <c r="E338" s="693"/>
      <c r="F338" s="693"/>
      <c r="G338" s="687"/>
      <c r="H338" s="687"/>
      <c r="I338" s="687"/>
      <c r="J338" s="469"/>
      <c r="K338" s="469"/>
      <c r="L338" s="279" t="str">
        <f t="shared" si="5"/>
        <v>-</v>
      </c>
      <c r="M338" s="16" t="str">
        <f t="shared" si="6"/>
        <v/>
      </c>
    </row>
    <row r="339" spans="3:13" hidden="1" outlineLevel="1" x14ac:dyDescent="0.3">
      <c r="C339" s="383">
        <v>17</v>
      </c>
      <c r="D339" s="693"/>
      <c r="E339" s="693"/>
      <c r="F339" s="693"/>
      <c r="G339" s="687"/>
      <c r="H339" s="687"/>
      <c r="I339" s="687"/>
      <c r="J339" s="469"/>
      <c r="K339" s="469"/>
      <c r="L339" s="279" t="str">
        <f t="shared" si="5"/>
        <v>-</v>
      </c>
      <c r="M339" s="16" t="str">
        <f t="shared" si="6"/>
        <v/>
      </c>
    </row>
    <row r="340" spans="3:13" hidden="1" outlineLevel="1" x14ac:dyDescent="0.3">
      <c r="C340" s="383">
        <v>18</v>
      </c>
      <c r="D340" s="693"/>
      <c r="E340" s="693"/>
      <c r="F340" s="693"/>
      <c r="G340" s="687"/>
      <c r="H340" s="687"/>
      <c r="I340" s="687"/>
      <c r="J340" s="469"/>
      <c r="K340" s="469"/>
      <c r="L340" s="279" t="str">
        <f t="shared" si="5"/>
        <v>-</v>
      </c>
      <c r="M340" s="16" t="str">
        <f t="shared" si="6"/>
        <v/>
      </c>
    </row>
    <row r="341" spans="3:13" hidden="1" outlineLevel="1" x14ac:dyDescent="0.3">
      <c r="C341" s="383">
        <v>19</v>
      </c>
      <c r="D341" s="693"/>
      <c r="E341" s="693"/>
      <c r="F341" s="693"/>
      <c r="G341" s="687"/>
      <c r="H341" s="687"/>
      <c r="I341" s="687"/>
      <c r="J341" s="469"/>
      <c r="K341" s="469"/>
      <c r="L341" s="279" t="str">
        <f t="shared" si="5"/>
        <v>-</v>
      </c>
      <c r="M341" s="16" t="str">
        <f t="shared" si="6"/>
        <v/>
      </c>
    </row>
    <row r="342" spans="3:13" hidden="1" outlineLevel="1" x14ac:dyDescent="0.3">
      <c r="C342" s="383">
        <v>20</v>
      </c>
      <c r="D342" s="693"/>
      <c r="E342" s="693"/>
      <c r="F342" s="693"/>
      <c r="G342" s="687"/>
      <c r="H342" s="687"/>
      <c r="I342" s="687"/>
      <c r="J342" s="469"/>
      <c r="K342" s="469"/>
      <c r="L342" s="279" t="str">
        <f t="shared" si="5"/>
        <v>-</v>
      </c>
      <c r="M342" s="16" t="str">
        <f t="shared" si="6"/>
        <v/>
      </c>
    </row>
    <row r="343" spans="3:13" hidden="1" outlineLevel="1" x14ac:dyDescent="0.3">
      <c r="C343" s="383">
        <v>21</v>
      </c>
      <c r="D343" s="693"/>
      <c r="E343" s="693"/>
      <c r="F343" s="693"/>
      <c r="G343" s="687"/>
      <c r="H343" s="687"/>
      <c r="I343" s="687"/>
      <c r="J343" s="469"/>
      <c r="K343" s="469"/>
      <c r="L343" s="279" t="str">
        <f t="shared" si="5"/>
        <v>-</v>
      </c>
      <c r="M343" s="16" t="str">
        <f t="shared" si="6"/>
        <v/>
      </c>
    </row>
    <row r="344" spans="3:13" hidden="1" outlineLevel="1" x14ac:dyDescent="0.3">
      <c r="C344" s="383">
        <v>22</v>
      </c>
      <c r="D344" s="693"/>
      <c r="E344" s="693"/>
      <c r="F344" s="693"/>
      <c r="G344" s="687"/>
      <c r="H344" s="687"/>
      <c r="I344" s="687"/>
      <c r="J344" s="469"/>
      <c r="K344" s="469"/>
      <c r="L344" s="279" t="str">
        <f t="shared" si="5"/>
        <v>-</v>
      </c>
      <c r="M344" s="16" t="str">
        <f t="shared" si="6"/>
        <v/>
      </c>
    </row>
    <row r="345" spans="3:13" hidden="1" outlineLevel="1" x14ac:dyDescent="0.3">
      <c r="C345" s="383">
        <v>23</v>
      </c>
      <c r="D345" s="693"/>
      <c r="E345" s="693"/>
      <c r="F345" s="693"/>
      <c r="G345" s="687"/>
      <c r="H345" s="687"/>
      <c r="I345" s="687"/>
      <c r="J345" s="469"/>
      <c r="K345" s="469"/>
      <c r="L345" s="279" t="str">
        <f t="shared" si="5"/>
        <v>-</v>
      </c>
      <c r="M345" s="16" t="str">
        <f t="shared" si="6"/>
        <v/>
      </c>
    </row>
    <row r="346" spans="3:13" hidden="1" outlineLevel="1" x14ac:dyDescent="0.3">
      <c r="C346" s="383">
        <v>24</v>
      </c>
      <c r="D346" s="693"/>
      <c r="E346" s="693"/>
      <c r="F346" s="693"/>
      <c r="G346" s="687"/>
      <c r="H346" s="687"/>
      <c r="I346" s="687"/>
      <c r="J346" s="469"/>
      <c r="K346" s="469"/>
      <c r="L346" s="279" t="str">
        <f t="shared" si="5"/>
        <v>-</v>
      </c>
      <c r="M346" s="16" t="str">
        <f t="shared" si="6"/>
        <v/>
      </c>
    </row>
    <row r="347" spans="3:13" hidden="1" outlineLevel="1" x14ac:dyDescent="0.3">
      <c r="C347" s="383">
        <v>25</v>
      </c>
      <c r="D347" s="693"/>
      <c r="E347" s="693"/>
      <c r="F347" s="693"/>
      <c r="G347" s="687"/>
      <c r="H347" s="687"/>
      <c r="I347" s="687"/>
      <c r="J347" s="469"/>
      <c r="K347" s="469"/>
      <c r="L347" s="279" t="str">
        <f t="shared" si="5"/>
        <v>-</v>
      </c>
      <c r="M347" s="16" t="str">
        <f t="shared" si="6"/>
        <v/>
      </c>
    </row>
    <row r="348" spans="3:13" hidden="1" outlineLevel="1" x14ac:dyDescent="0.3">
      <c r="C348" s="383">
        <v>26</v>
      </c>
      <c r="D348" s="693"/>
      <c r="E348" s="693"/>
      <c r="F348" s="693"/>
      <c r="G348" s="687"/>
      <c r="H348" s="687"/>
      <c r="I348" s="687"/>
      <c r="J348" s="469"/>
      <c r="K348" s="469"/>
      <c r="L348" s="279" t="str">
        <f t="shared" si="5"/>
        <v>-</v>
      </c>
      <c r="M348" s="16" t="str">
        <f t="shared" si="6"/>
        <v/>
      </c>
    </row>
    <row r="349" spans="3:13" hidden="1" outlineLevel="1" x14ac:dyDescent="0.3">
      <c r="C349" s="383">
        <v>27</v>
      </c>
      <c r="D349" s="693"/>
      <c r="E349" s="693"/>
      <c r="F349" s="693"/>
      <c r="G349" s="687"/>
      <c r="H349" s="687"/>
      <c r="I349" s="687"/>
      <c r="J349" s="469"/>
      <c r="K349" s="469"/>
      <c r="L349" s="279" t="str">
        <f t="shared" si="5"/>
        <v>-</v>
      </c>
      <c r="M349" s="16" t="str">
        <f t="shared" si="6"/>
        <v/>
      </c>
    </row>
    <row r="350" spans="3:13" hidden="1" outlineLevel="1" x14ac:dyDescent="0.3">
      <c r="C350" s="383">
        <v>28</v>
      </c>
      <c r="D350" s="693"/>
      <c r="E350" s="693"/>
      <c r="F350" s="693"/>
      <c r="G350" s="687"/>
      <c r="H350" s="687"/>
      <c r="I350" s="687"/>
      <c r="J350" s="469"/>
      <c r="K350" s="469"/>
      <c r="L350" s="279" t="str">
        <f t="shared" si="5"/>
        <v>-</v>
      </c>
      <c r="M350" s="16" t="str">
        <f t="shared" si="6"/>
        <v/>
      </c>
    </row>
    <row r="351" spans="3:13" hidden="1" outlineLevel="1" x14ac:dyDescent="0.3">
      <c r="C351" s="383">
        <v>29</v>
      </c>
      <c r="D351" s="693"/>
      <c r="E351" s="693"/>
      <c r="F351" s="693"/>
      <c r="G351" s="687"/>
      <c r="H351" s="687"/>
      <c r="I351" s="687"/>
      <c r="J351" s="469"/>
      <c r="K351" s="469"/>
      <c r="L351" s="279" t="str">
        <f t="shared" si="5"/>
        <v>-</v>
      </c>
      <c r="M351" s="16" t="str">
        <f t="shared" si="6"/>
        <v/>
      </c>
    </row>
    <row r="352" spans="3:13" hidden="1" outlineLevel="1" x14ac:dyDescent="0.3">
      <c r="C352" s="383">
        <v>30</v>
      </c>
      <c r="D352" s="693"/>
      <c r="E352" s="693"/>
      <c r="F352" s="693"/>
      <c r="G352" s="687"/>
      <c r="H352" s="687"/>
      <c r="I352" s="687"/>
      <c r="J352" s="469"/>
      <c r="K352" s="469"/>
      <c r="L352" s="279" t="str">
        <f t="shared" si="5"/>
        <v>-</v>
      </c>
      <c r="M352" s="16" t="str">
        <f t="shared" si="6"/>
        <v/>
      </c>
    </row>
    <row r="353" spans="3:13" hidden="1" outlineLevel="1" x14ac:dyDescent="0.3">
      <c r="C353" s="383">
        <v>31</v>
      </c>
      <c r="D353" s="693"/>
      <c r="E353" s="693"/>
      <c r="F353" s="693"/>
      <c r="G353" s="687"/>
      <c r="H353" s="687"/>
      <c r="I353" s="687"/>
      <c r="J353" s="469"/>
      <c r="K353" s="469"/>
      <c r="L353" s="279" t="str">
        <f t="shared" si="5"/>
        <v>-</v>
      </c>
      <c r="M353" s="16" t="str">
        <f t="shared" si="6"/>
        <v/>
      </c>
    </row>
    <row r="354" spans="3:13" hidden="1" outlineLevel="1" x14ac:dyDescent="0.3">
      <c r="C354" s="383">
        <v>32</v>
      </c>
      <c r="D354" s="693"/>
      <c r="E354" s="693"/>
      <c r="F354" s="693"/>
      <c r="G354" s="687"/>
      <c r="H354" s="687"/>
      <c r="I354" s="687"/>
      <c r="J354" s="469"/>
      <c r="K354" s="469"/>
      <c r="L354" s="279" t="str">
        <f t="shared" si="5"/>
        <v>-</v>
      </c>
      <c r="M354" s="16" t="str">
        <f t="shared" si="6"/>
        <v/>
      </c>
    </row>
    <row r="355" spans="3:13" hidden="1" outlineLevel="1" x14ac:dyDescent="0.3">
      <c r="C355" s="383">
        <v>33</v>
      </c>
      <c r="D355" s="693"/>
      <c r="E355" s="693"/>
      <c r="F355" s="693"/>
      <c r="G355" s="687"/>
      <c r="H355" s="687"/>
      <c r="I355" s="687"/>
      <c r="J355" s="469"/>
      <c r="K355" s="469"/>
      <c r="L355" s="279" t="str">
        <f t="shared" si="5"/>
        <v>-</v>
      </c>
      <c r="M355" s="16" t="str">
        <f t="shared" si="6"/>
        <v/>
      </c>
    </row>
    <row r="356" spans="3:13" hidden="1" outlineLevel="1" x14ac:dyDescent="0.3">
      <c r="C356" s="383">
        <v>34</v>
      </c>
      <c r="D356" s="693"/>
      <c r="E356" s="693"/>
      <c r="F356" s="693"/>
      <c r="G356" s="687"/>
      <c r="H356" s="687"/>
      <c r="I356" s="687"/>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83">
        <v>35</v>
      </c>
      <c r="D357" s="693"/>
      <c r="E357" s="693"/>
      <c r="F357" s="693"/>
      <c r="G357" s="687"/>
      <c r="H357" s="687"/>
      <c r="I357" s="687"/>
      <c r="J357" s="469"/>
      <c r="K357" s="469"/>
      <c r="L357" s="279" t="str">
        <f t="shared" si="5"/>
        <v>-</v>
      </c>
      <c r="M357" s="16" t="str">
        <f t="shared" si="7"/>
        <v/>
      </c>
    </row>
    <row r="358" spans="3:13" hidden="1" outlineLevel="1" x14ac:dyDescent="0.3">
      <c r="C358" s="383">
        <v>36</v>
      </c>
      <c r="D358" s="693"/>
      <c r="E358" s="693"/>
      <c r="F358" s="693"/>
      <c r="G358" s="687"/>
      <c r="H358" s="687"/>
      <c r="I358" s="687"/>
      <c r="J358" s="469"/>
      <c r="K358" s="469"/>
      <c r="L358" s="279" t="str">
        <f t="shared" si="5"/>
        <v>-</v>
      </c>
      <c r="M358" s="16" t="str">
        <f t="shared" si="7"/>
        <v/>
      </c>
    </row>
    <row r="359" spans="3:13" hidden="1" outlineLevel="1" x14ac:dyDescent="0.3">
      <c r="C359" s="383">
        <v>37</v>
      </c>
      <c r="D359" s="693"/>
      <c r="E359" s="693"/>
      <c r="F359" s="693"/>
      <c r="G359" s="687"/>
      <c r="H359" s="687"/>
      <c r="I359" s="687"/>
      <c r="J359" s="469"/>
      <c r="K359" s="469"/>
      <c r="L359" s="279" t="str">
        <f t="shared" si="5"/>
        <v>-</v>
      </c>
      <c r="M359" s="16" t="str">
        <f t="shared" si="7"/>
        <v/>
      </c>
    </row>
    <row r="360" spans="3:13" hidden="1" outlineLevel="1" x14ac:dyDescent="0.3">
      <c r="C360" s="383">
        <v>38</v>
      </c>
      <c r="D360" s="693"/>
      <c r="E360" s="693"/>
      <c r="F360" s="693"/>
      <c r="G360" s="687"/>
      <c r="H360" s="687"/>
      <c r="I360" s="687"/>
      <c r="J360" s="469"/>
      <c r="K360" s="469"/>
      <c r="L360" s="279" t="str">
        <f t="shared" si="5"/>
        <v>-</v>
      </c>
      <c r="M360" s="16" t="str">
        <f t="shared" si="7"/>
        <v/>
      </c>
    </row>
    <row r="361" spans="3:13" hidden="1" outlineLevel="1" x14ac:dyDescent="0.3">
      <c r="C361" s="383">
        <v>39</v>
      </c>
      <c r="D361" s="693"/>
      <c r="E361" s="693"/>
      <c r="F361" s="693"/>
      <c r="G361" s="687"/>
      <c r="H361" s="687"/>
      <c r="I361" s="687"/>
      <c r="J361" s="469"/>
      <c r="K361" s="469"/>
      <c r="L361" s="279" t="str">
        <f t="shared" si="5"/>
        <v>-</v>
      </c>
      <c r="M361" s="16" t="str">
        <f t="shared" si="7"/>
        <v/>
      </c>
    </row>
    <row r="362" spans="3:13" hidden="1" outlineLevel="1" x14ac:dyDescent="0.3">
      <c r="C362" s="383">
        <v>40</v>
      </c>
      <c r="D362" s="693"/>
      <c r="E362" s="693"/>
      <c r="F362" s="693"/>
      <c r="G362" s="687"/>
      <c r="H362" s="687"/>
      <c r="I362" s="687"/>
      <c r="J362" s="469"/>
      <c r="K362" s="469"/>
      <c r="L362" s="279" t="str">
        <f t="shared" si="5"/>
        <v>-</v>
      </c>
      <c r="M362" s="16" t="str">
        <f t="shared" si="7"/>
        <v/>
      </c>
    </row>
    <row r="363" spans="3:13" hidden="1" outlineLevel="1" x14ac:dyDescent="0.3">
      <c r="C363" s="383">
        <v>41</v>
      </c>
      <c r="D363" s="693"/>
      <c r="E363" s="693"/>
      <c r="F363" s="693"/>
      <c r="G363" s="687"/>
      <c r="H363" s="687"/>
      <c r="I363" s="687"/>
      <c r="J363" s="469"/>
      <c r="K363" s="469"/>
      <c r="L363" s="279" t="str">
        <f t="shared" si="5"/>
        <v>-</v>
      </c>
      <c r="M363" s="16" t="str">
        <f t="shared" si="7"/>
        <v/>
      </c>
    </row>
    <row r="364" spans="3:13" hidden="1" outlineLevel="1" x14ac:dyDescent="0.3">
      <c r="C364" s="383">
        <v>42</v>
      </c>
      <c r="D364" s="693"/>
      <c r="E364" s="693"/>
      <c r="F364" s="693"/>
      <c r="G364" s="687"/>
      <c r="H364" s="687"/>
      <c r="I364" s="687"/>
      <c r="J364" s="469"/>
      <c r="K364" s="469"/>
      <c r="L364" s="279" t="str">
        <f t="shared" si="5"/>
        <v>-</v>
      </c>
      <c r="M364" s="16" t="str">
        <f t="shared" si="7"/>
        <v/>
      </c>
    </row>
    <row r="365" spans="3:13" hidden="1" outlineLevel="1" x14ac:dyDescent="0.3">
      <c r="C365" s="383">
        <v>43</v>
      </c>
      <c r="D365" s="693"/>
      <c r="E365" s="693"/>
      <c r="F365" s="693"/>
      <c r="G365" s="687"/>
      <c r="H365" s="687"/>
      <c r="I365" s="687"/>
      <c r="J365" s="469"/>
      <c r="K365" s="469"/>
      <c r="L365" s="279" t="str">
        <f t="shared" si="5"/>
        <v>-</v>
      </c>
      <c r="M365" s="16" t="str">
        <f t="shared" si="7"/>
        <v/>
      </c>
    </row>
    <row r="366" spans="3:13" hidden="1" outlineLevel="1" x14ac:dyDescent="0.3">
      <c r="C366" s="383">
        <v>44</v>
      </c>
      <c r="D366" s="693"/>
      <c r="E366" s="693"/>
      <c r="F366" s="693"/>
      <c r="G366" s="687"/>
      <c r="H366" s="687"/>
      <c r="I366" s="687"/>
      <c r="J366" s="469"/>
      <c r="K366" s="469"/>
      <c r="L366" s="279" t="str">
        <f t="shared" si="5"/>
        <v>-</v>
      </c>
      <c r="M366" s="16" t="str">
        <f t="shared" si="7"/>
        <v/>
      </c>
    </row>
    <row r="367" spans="3:13" hidden="1" outlineLevel="1" x14ac:dyDescent="0.3">
      <c r="C367" s="383">
        <v>45</v>
      </c>
      <c r="D367" s="693"/>
      <c r="E367" s="693"/>
      <c r="F367" s="693"/>
      <c r="G367" s="687"/>
      <c r="H367" s="687"/>
      <c r="I367" s="687"/>
      <c r="J367" s="469"/>
      <c r="K367" s="469"/>
      <c r="L367" s="279" t="str">
        <f t="shared" si="5"/>
        <v>-</v>
      </c>
      <c r="M367" s="16" t="str">
        <f t="shared" si="7"/>
        <v/>
      </c>
    </row>
    <row r="368" spans="3:13" hidden="1" outlineLevel="1" x14ac:dyDescent="0.3">
      <c r="C368" s="383">
        <v>46</v>
      </c>
      <c r="D368" s="693"/>
      <c r="E368" s="693"/>
      <c r="F368" s="693"/>
      <c r="G368" s="687"/>
      <c r="H368" s="687"/>
      <c r="I368" s="687"/>
      <c r="J368" s="469"/>
      <c r="K368" s="469"/>
      <c r="L368" s="279" t="str">
        <f t="shared" si="5"/>
        <v>-</v>
      </c>
      <c r="M368" s="16" t="str">
        <f t="shared" si="7"/>
        <v/>
      </c>
    </row>
    <row r="369" spans="3:13" hidden="1" outlineLevel="1" x14ac:dyDescent="0.3">
      <c r="C369" s="383">
        <v>47</v>
      </c>
      <c r="D369" s="693"/>
      <c r="E369" s="693"/>
      <c r="F369" s="693"/>
      <c r="G369" s="687"/>
      <c r="H369" s="687"/>
      <c r="I369" s="687"/>
      <c r="J369" s="469"/>
      <c r="K369" s="469"/>
      <c r="L369" s="279" t="str">
        <f t="shared" si="5"/>
        <v>-</v>
      </c>
      <c r="M369" s="16" t="str">
        <f t="shared" si="7"/>
        <v/>
      </c>
    </row>
    <row r="370" spans="3:13" hidden="1" outlineLevel="1" x14ac:dyDescent="0.3">
      <c r="C370" s="383">
        <v>48</v>
      </c>
      <c r="D370" s="693"/>
      <c r="E370" s="693"/>
      <c r="F370" s="693"/>
      <c r="G370" s="687"/>
      <c r="H370" s="687"/>
      <c r="I370" s="687"/>
      <c r="J370" s="469"/>
      <c r="K370" s="469"/>
      <c r="L370" s="279" t="str">
        <f t="shared" si="5"/>
        <v>-</v>
      </c>
      <c r="M370" s="16" t="str">
        <f t="shared" si="7"/>
        <v/>
      </c>
    </row>
    <row r="371" spans="3:13" hidden="1" outlineLevel="1" x14ac:dyDescent="0.3">
      <c r="C371" s="383">
        <v>49</v>
      </c>
      <c r="D371" s="693"/>
      <c r="E371" s="693"/>
      <c r="F371" s="693"/>
      <c r="G371" s="687"/>
      <c r="H371" s="687"/>
      <c r="I371" s="687"/>
      <c r="J371" s="469"/>
      <c r="K371" s="469"/>
      <c r="L371" s="279" t="str">
        <f t="shared" si="5"/>
        <v>-</v>
      </c>
      <c r="M371" s="16" t="str">
        <f t="shared" si="7"/>
        <v/>
      </c>
    </row>
    <row r="372" spans="3:13" hidden="1" outlineLevel="1" x14ac:dyDescent="0.3">
      <c r="C372" s="383">
        <v>50</v>
      </c>
      <c r="D372" s="693"/>
      <c r="E372" s="693"/>
      <c r="F372" s="693"/>
      <c r="G372" s="687"/>
      <c r="H372" s="687"/>
      <c r="I372" s="687"/>
      <c r="J372" s="469"/>
      <c r="K372" s="469"/>
      <c r="L372" s="279" t="str">
        <f t="shared" si="5"/>
        <v>-</v>
      </c>
      <c r="M372" s="16" t="str">
        <f t="shared" si="7"/>
        <v/>
      </c>
    </row>
    <row r="373" spans="3:13" hidden="1" outlineLevel="1" x14ac:dyDescent="0.3">
      <c r="C373" s="383">
        <v>51</v>
      </c>
      <c r="D373" s="693"/>
      <c r="E373" s="693"/>
      <c r="F373" s="693"/>
      <c r="G373" s="687"/>
      <c r="H373" s="687"/>
      <c r="I373" s="687"/>
      <c r="J373" s="469"/>
      <c r="K373" s="469"/>
      <c r="L373" s="279" t="str">
        <f t="shared" si="5"/>
        <v>-</v>
      </c>
      <c r="M373" s="16" t="str">
        <f t="shared" si="7"/>
        <v/>
      </c>
    </row>
    <row r="374" spans="3:13" hidden="1" outlineLevel="1" x14ac:dyDescent="0.3">
      <c r="C374" s="383">
        <v>52</v>
      </c>
      <c r="D374" s="693"/>
      <c r="E374" s="693"/>
      <c r="F374" s="693"/>
      <c r="G374" s="687"/>
      <c r="H374" s="687"/>
      <c r="I374" s="687"/>
      <c r="J374" s="469"/>
      <c r="K374" s="469"/>
      <c r="L374" s="279" t="str">
        <f t="shared" si="5"/>
        <v>-</v>
      </c>
      <c r="M374" s="16" t="str">
        <f t="shared" si="7"/>
        <v/>
      </c>
    </row>
    <row r="375" spans="3:13" hidden="1" outlineLevel="1" x14ac:dyDescent="0.3">
      <c r="C375" s="383">
        <v>53</v>
      </c>
      <c r="D375" s="693"/>
      <c r="E375" s="693"/>
      <c r="F375" s="693"/>
      <c r="G375" s="687"/>
      <c r="H375" s="687"/>
      <c r="I375" s="687"/>
      <c r="J375" s="469"/>
      <c r="K375" s="469"/>
      <c r="L375" s="279" t="str">
        <f t="shared" si="5"/>
        <v>-</v>
      </c>
      <c r="M375" s="16" t="str">
        <f t="shared" si="7"/>
        <v/>
      </c>
    </row>
    <row r="376" spans="3:13" hidden="1" outlineLevel="1" x14ac:dyDescent="0.3">
      <c r="C376" s="383">
        <v>54</v>
      </c>
      <c r="D376" s="693"/>
      <c r="E376" s="693"/>
      <c r="F376" s="693"/>
      <c r="G376" s="687"/>
      <c r="H376" s="687"/>
      <c r="I376" s="687"/>
      <c r="J376" s="469"/>
      <c r="K376" s="469"/>
      <c r="L376" s="279" t="str">
        <f t="shared" si="5"/>
        <v>-</v>
      </c>
      <c r="M376" s="16" t="str">
        <f t="shared" si="7"/>
        <v/>
      </c>
    </row>
    <row r="377" spans="3:13" hidden="1" outlineLevel="1" x14ac:dyDescent="0.3">
      <c r="C377" s="383">
        <v>55</v>
      </c>
      <c r="D377" s="693"/>
      <c r="E377" s="693"/>
      <c r="F377" s="693"/>
      <c r="G377" s="687"/>
      <c r="H377" s="687"/>
      <c r="I377" s="687"/>
      <c r="J377" s="469"/>
      <c r="K377" s="469"/>
      <c r="L377" s="279" t="str">
        <f t="shared" si="5"/>
        <v>-</v>
      </c>
      <c r="M377" s="16" t="str">
        <f t="shared" si="7"/>
        <v/>
      </c>
    </row>
    <row r="378" spans="3:13" hidden="1" outlineLevel="1" x14ac:dyDescent="0.3">
      <c r="C378" s="383">
        <v>56</v>
      </c>
      <c r="D378" s="693"/>
      <c r="E378" s="693"/>
      <c r="F378" s="693"/>
      <c r="G378" s="687"/>
      <c r="H378" s="687"/>
      <c r="I378" s="687"/>
      <c r="J378" s="469"/>
      <c r="K378" s="469"/>
      <c r="L378" s="279" t="str">
        <f t="shared" si="5"/>
        <v>-</v>
      </c>
      <c r="M378" s="16" t="str">
        <f t="shared" si="7"/>
        <v/>
      </c>
    </row>
    <row r="379" spans="3:13" hidden="1" outlineLevel="1" x14ac:dyDescent="0.3">
      <c r="C379" s="383">
        <v>57</v>
      </c>
      <c r="D379" s="693"/>
      <c r="E379" s="693"/>
      <c r="F379" s="693"/>
      <c r="G379" s="687"/>
      <c r="H379" s="687"/>
      <c r="I379" s="687"/>
      <c r="J379" s="469"/>
      <c r="K379" s="469"/>
      <c r="L379" s="279" t="str">
        <f t="shared" si="5"/>
        <v>-</v>
      </c>
      <c r="M379" s="16" t="str">
        <f t="shared" si="7"/>
        <v/>
      </c>
    </row>
    <row r="380" spans="3:13" hidden="1" outlineLevel="1" x14ac:dyDescent="0.3">
      <c r="C380" s="383">
        <v>58</v>
      </c>
      <c r="D380" s="693"/>
      <c r="E380" s="693"/>
      <c r="F380" s="693"/>
      <c r="G380" s="687"/>
      <c r="H380" s="687"/>
      <c r="I380" s="687"/>
      <c r="J380" s="469"/>
      <c r="K380" s="469"/>
      <c r="L380" s="279" t="str">
        <f t="shared" si="5"/>
        <v>-</v>
      </c>
      <c r="M380" s="16" t="str">
        <f t="shared" si="7"/>
        <v/>
      </c>
    </row>
    <row r="381" spans="3:13" hidden="1" outlineLevel="1" x14ac:dyDescent="0.3">
      <c r="C381" s="383">
        <v>59</v>
      </c>
      <c r="D381" s="693"/>
      <c r="E381" s="693"/>
      <c r="F381" s="693"/>
      <c r="G381" s="687"/>
      <c r="H381" s="687"/>
      <c r="I381" s="687"/>
      <c r="J381" s="469"/>
      <c r="K381" s="469"/>
      <c r="L381" s="279" t="str">
        <f t="shared" si="5"/>
        <v>-</v>
      </c>
      <c r="M381" s="16" t="str">
        <f t="shared" si="7"/>
        <v/>
      </c>
    </row>
    <row r="382" spans="3:13" hidden="1" outlineLevel="1" x14ac:dyDescent="0.3">
      <c r="C382" s="383">
        <v>60</v>
      </c>
      <c r="D382" s="693"/>
      <c r="E382" s="693"/>
      <c r="F382" s="693"/>
      <c r="G382" s="687"/>
      <c r="H382" s="687"/>
      <c r="I382" s="687"/>
      <c r="J382" s="469"/>
      <c r="K382" s="469"/>
      <c r="L382" s="279" t="str">
        <f t="shared" si="5"/>
        <v>-</v>
      </c>
      <c r="M382" s="16" t="str">
        <f t="shared" si="7"/>
        <v/>
      </c>
    </row>
    <row r="383" spans="3:13" hidden="1" outlineLevel="1" x14ac:dyDescent="0.3">
      <c r="C383" s="383">
        <v>61</v>
      </c>
      <c r="D383" s="693"/>
      <c r="E383" s="693"/>
      <c r="F383" s="693"/>
      <c r="G383" s="687"/>
      <c r="H383" s="687"/>
      <c r="I383" s="687"/>
      <c r="J383" s="469"/>
      <c r="K383" s="469"/>
      <c r="L383" s="279" t="str">
        <f t="shared" si="5"/>
        <v>-</v>
      </c>
      <c r="M383" s="16" t="str">
        <f t="shared" si="7"/>
        <v/>
      </c>
    </row>
    <row r="384" spans="3:13" hidden="1" outlineLevel="1" x14ac:dyDescent="0.3">
      <c r="C384" s="383">
        <v>62</v>
      </c>
      <c r="D384" s="693"/>
      <c r="E384" s="693"/>
      <c r="F384" s="693"/>
      <c r="G384" s="687"/>
      <c r="H384" s="687"/>
      <c r="I384" s="687"/>
      <c r="J384" s="469"/>
      <c r="K384" s="469"/>
      <c r="L384" s="279" t="str">
        <f t="shared" si="5"/>
        <v>-</v>
      </c>
      <c r="M384" s="16" t="str">
        <f t="shared" si="7"/>
        <v/>
      </c>
    </row>
    <row r="385" spans="3:13" hidden="1" outlineLevel="1" x14ac:dyDescent="0.3">
      <c r="C385" s="383">
        <v>63</v>
      </c>
      <c r="D385" s="693"/>
      <c r="E385" s="693"/>
      <c r="F385" s="693"/>
      <c r="G385" s="687"/>
      <c r="H385" s="687"/>
      <c r="I385" s="687"/>
      <c r="J385" s="469"/>
      <c r="K385" s="469"/>
      <c r="L385" s="279" t="str">
        <f t="shared" si="5"/>
        <v>-</v>
      </c>
      <c r="M385" s="16" t="str">
        <f t="shared" si="7"/>
        <v/>
      </c>
    </row>
    <row r="386" spans="3:13" hidden="1" outlineLevel="1" x14ac:dyDescent="0.3">
      <c r="C386" s="383">
        <v>64</v>
      </c>
      <c r="D386" s="693"/>
      <c r="E386" s="693"/>
      <c r="F386" s="693"/>
      <c r="G386" s="687"/>
      <c r="H386" s="687"/>
      <c r="I386" s="687"/>
      <c r="J386" s="469"/>
      <c r="K386" s="469"/>
      <c r="L386" s="279" t="str">
        <f t="shared" si="5"/>
        <v>-</v>
      </c>
      <c r="M386" s="16" t="str">
        <f t="shared" si="7"/>
        <v/>
      </c>
    </row>
    <row r="387" spans="3:13" hidden="1" outlineLevel="1" x14ac:dyDescent="0.3">
      <c r="C387" s="383">
        <v>65</v>
      </c>
      <c r="D387" s="693"/>
      <c r="E387" s="693"/>
      <c r="F387" s="693"/>
      <c r="G387" s="687"/>
      <c r="H387" s="687"/>
      <c r="I387" s="687"/>
      <c r="J387" s="469"/>
      <c r="K387" s="469"/>
      <c r="L387" s="279" t="str">
        <f t="shared" si="5"/>
        <v>-</v>
      </c>
      <c r="M387" s="16" t="str">
        <f t="shared" si="7"/>
        <v/>
      </c>
    </row>
    <row r="388" spans="3:13" hidden="1" outlineLevel="1" x14ac:dyDescent="0.3">
      <c r="C388" s="383">
        <v>66</v>
      </c>
      <c r="D388" s="693"/>
      <c r="E388" s="693"/>
      <c r="F388" s="693"/>
      <c r="G388" s="687"/>
      <c r="H388" s="687"/>
      <c r="I388" s="687"/>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83">
        <v>67</v>
      </c>
      <c r="D389" s="693"/>
      <c r="E389" s="693"/>
      <c r="F389" s="693"/>
      <c r="G389" s="687"/>
      <c r="H389" s="687"/>
      <c r="I389" s="687"/>
      <c r="J389" s="469"/>
      <c r="K389" s="469"/>
      <c r="L389" s="279" t="str">
        <f t="shared" si="5"/>
        <v>-</v>
      </c>
      <c r="M389" s="16" t="str">
        <f t="shared" si="8"/>
        <v/>
      </c>
    </row>
    <row r="390" spans="3:13" hidden="1" outlineLevel="1" x14ac:dyDescent="0.3">
      <c r="C390" s="383">
        <v>68</v>
      </c>
      <c r="D390" s="693"/>
      <c r="E390" s="693"/>
      <c r="F390" s="693"/>
      <c r="G390" s="687"/>
      <c r="H390" s="687"/>
      <c r="I390" s="687"/>
      <c r="J390" s="469"/>
      <c r="K390" s="469"/>
      <c r="L390" s="279" t="str">
        <f t="shared" si="5"/>
        <v>-</v>
      </c>
      <c r="M390" s="16" t="str">
        <f t="shared" si="8"/>
        <v/>
      </c>
    </row>
    <row r="391" spans="3:13" hidden="1" outlineLevel="1" x14ac:dyDescent="0.3">
      <c r="C391" s="383">
        <v>69</v>
      </c>
      <c r="D391" s="693"/>
      <c r="E391" s="693"/>
      <c r="F391" s="693"/>
      <c r="G391" s="687"/>
      <c r="H391" s="687"/>
      <c r="I391" s="687"/>
      <c r="J391" s="469"/>
      <c r="K391" s="469"/>
      <c r="L391" s="279" t="str">
        <f t="shared" si="5"/>
        <v>-</v>
      </c>
      <c r="M391" s="16" t="str">
        <f t="shared" si="8"/>
        <v/>
      </c>
    </row>
    <row r="392" spans="3:13" hidden="1" outlineLevel="1" x14ac:dyDescent="0.3">
      <c r="C392" s="383">
        <v>70</v>
      </c>
      <c r="D392" s="693"/>
      <c r="E392" s="693"/>
      <c r="F392" s="693"/>
      <c r="G392" s="687"/>
      <c r="H392" s="687"/>
      <c r="I392" s="687"/>
      <c r="J392" s="469"/>
      <c r="K392" s="469"/>
      <c r="L392" s="279" t="str">
        <f t="shared" si="5"/>
        <v>-</v>
      </c>
      <c r="M392" s="16" t="str">
        <f t="shared" si="8"/>
        <v/>
      </c>
    </row>
    <row r="393" spans="3:13" hidden="1" outlineLevel="1" x14ac:dyDescent="0.3">
      <c r="C393" s="383">
        <v>71</v>
      </c>
      <c r="D393" s="693"/>
      <c r="E393" s="693"/>
      <c r="F393" s="693"/>
      <c r="G393" s="687"/>
      <c r="H393" s="687"/>
      <c r="I393" s="687"/>
      <c r="J393" s="469"/>
      <c r="K393" s="469"/>
      <c r="L393" s="279" t="str">
        <f t="shared" si="5"/>
        <v>-</v>
      </c>
      <c r="M393" s="16" t="str">
        <f t="shared" si="8"/>
        <v/>
      </c>
    </row>
    <row r="394" spans="3:13" hidden="1" outlineLevel="1" x14ac:dyDescent="0.3">
      <c r="C394" s="383">
        <v>72</v>
      </c>
      <c r="D394" s="693"/>
      <c r="E394" s="693"/>
      <c r="F394" s="693"/>
      <c r="G394" s="687"/>
      <c r="H394" s="687"/>
      <c r="I394" s="687"/>
      <c r="J394" s="469"/>
      <c r="K394" s="469"/>
      <c r="L394" s="279" t="str">
        <f t="shared" si="5"/>
        <v>-</v>
      </c>
      <c r="M394" s="16" t="str">
        <f t="shared" si="8"/>
        <v/>
      </c>
    </row>
    <row r="395" spans="3:13" hidden="1" outlineLevel="1" x14ac:dyDescent="0.3">
      <c r="C395" s="383">
        <v>73</v>
      </c>
      <c r="D395" s="693"/>
      <c r="E395" s="693"/>
      <c r="F395" s="693"/>
      <c r="G395" s="687"/>
      <c r="H395" s="687"/>
      <c r="I395" s="687"/>
      <c r="J395" s="469"/>
      <c r="K395" s="469"/>
      <c r="L395" s="279" t="str">
        <f t="shared" si="5"/>
        <v>-</v>
      </c>
      <c r="M395" s="16" t="str">
        <f t="shared" si="8"/>
        <v/>
      </c>
    </row>
    <row r="396" spans="3:13" hidden="1" outlineLevel="1" x14ac:dyDescent="0.3">
      <c r="C396" s="383">
        <v>74</v>
      </c>
      <c r="D396" s="693"/>
      <c r="E396" s="693"/>
      <c r="F396" s="693"/>
      <c r="G396" s="687"/>
      <c r="H396" s="687"/>
      <c r="I396" s="687"/>
      <c r="J396" s="469"/>
      <c r="K396" s="469"/>
      <c r="L396" s="279" t="str">
        <f t="shared" si="5"/>
        <v>-</v>
      </c>
      <c r="M396" s="16" t="str">
        <f t="shared" si="8"/>
        <v/>
      </c>
    </row>
    <row r="397" spans="3:13" hidden="1" outlineLevel="1" x14ac:dyDescent="0.3">
      <c r="C397" s="383">
        <v>75</v>
      </c>
      <c r="D397" s="693"/>
      <c r="E397" s="693"/>
      <c r="F397" s="693"/>
      <c r="G397" s="687"/>
      <c r="H397" s="687"/>
      <c r="I397" s="687"/>
      <c r="J397" s="469"/>
      <c r="K397" s="469"/>
      <c r="L397" s="279" t="str">
        <f t="shared" si="5"/>
        <v>-</v>
      </c>
      <c r="M397" s="16" t="str">
        <f t="shared" si="8"/>
        <v/>
      </c>
    </row>
    <row r="398" spans="3:13" hidden="1" outlineLevel="1" x14ac:dyDescent="0.3">
      <c r="C398" s="383">
        <v>76</v>
      </c>
      <c r="D398" s="693"/>
      <c r="E398" s="693"/>
      <c r="F398" s="693"/>
      <c r="G398" s="687"/>
      <c r="H398" s="687"/>
      <c r="I398" s="687"/>
      <c r="J398" s="469"/>
      <c r="K398" s="469"/>
      <c r="L398" s="279" t="str">
        <f t="shared" si="5"/>
        <v>-</v>
      </c>
      <c r="M398" s="16" t="str">
        <f t="shared" si="8"/>
        <v/>
      </c>
    </row>
    <row r="399" spans="3:13" hidden="1" outlineLevel="1" x14ac:dyDescent="0.3">
      <c r="C399" s="383">
        <v>77</v>
      </c>
      <c r="D399" s="693"/>
      <c r="E399" s="693"/>
      <c r="F399" s="693"/>
      <c r="G399" s="687"/>
      <c r="H399" s="687"/>
      <c r="I399" s="687"/>
      <c r="J399" s="469"/>
      <c r="K399" s="469"/>
      <c r="L399" s="279" t="str">
        <f t="shared" si="5"/>
        <v>-</v>
      </c>
      <c r="M399" s="16" t="str">
        <f t="shared" si="8"/>
        <v/>
      </c>
    </row>
    <row r="400" spans="3:13" hidden="1" outlineLevel="1" x14ac:dyDescent="0.3">
      <c r="C400" s="383">
        <v>78</v>
      </c>
      <c r="D400" s="693"/>
      <c r="E400" s="693"/>
      <c r="F400" s="693"/>
      <c r="G400" s="687"/>
      <c r="H400" s="687"/>
      <c r="I400" s="687"/>
      <c r="J400" s="469"/>
      <c r="K400" s="469"/>
      <c r="L400" s="279" t="str">
        <f t="shared" si="5"/>
        <v>-</v>
      </c>
      <c r="M400" s="16" t="str">
        <f t="shared" si="8"/>
        <v/>
      </c>
    </row>
    <row r="401" spans="3:13" hidden="1" outlineLevel="1" x14ac:dyDescent="0.3">
      <c r="C401" s="383">
        <v>79</v>
      </c>
      <c r="D401" s="693"/>
      <c r="E401" s="693"/>
      <c r="F401" s="693"/>
      <c r="G401" s="687"/>
      <c r="H401" s="687"/>
      <c r="I401" s="687"/>
      <c r="J401" s="469"/>
      <c r="K401" s="469"/>
      <c r="L401" s="279" t="str">
        <f t="shared" si="5"/>
        <v>-</v>
      </c>
      <c r="M401" s="16" t="str">
        <f t="shared" si="8"/>
        <v/>
      </c>
    </row>
    <row r="402" spans="3:13" hidden="1" outlineLevel="1" x14ac:dyDescent="0.3">
      <c r="C402" s="383">
        <v>80</v>
      </c>
      <c r="D402" s="693"/>
      <c r="E402" s="693"/>
      <c r="F402" s="693"/>
      <c r="G402" s="687"/>
      <c r="H402" s="687"/>
      <c r="I402" s="687"/>
      <c r="J402" s="469"/>
      <c r="K402" s="469"/>
      <c r="L402" s="279" t="str">
        <f t="shared" si="5"/>
        <v>-</v>
      </c>
      <c r="M402" s="16" t="str">
        <f t="shared" si="8"/>
        <v/>
      </c>
    </row>
    <row r="403" spans="3:13" hidden="1" outlineLevel="1" x14ac:dyDescent="0.3">
      <c r="C403" s="383">
        <v>81</v>
      </c>
      <c r="D403" s="693"/>
      <c r="E403" s="693"/>
      <c r="F403" s="693"/>
      <c r="G403" s="687"/>
      <c r="H403" s="687"/>
      <c r="I403" s="687"/>
      <c r="J403" s="469"/>
      <c r="K403" s="469"/>
      <c r="L403" s="279" t="str">
        <f t="shared" si="5"/>
        <v>-</v>
      </c>
      <c r="M403" s="16" t="str">
        <f t="shared" si="8"/>
        <v/>
      </c>
    </row>
    <row r="404" spans="3:13" hidden="1" outlineLevel="1" x14ac:dyDescent="0.3">
      <c r="C404" s="383">
        <v>82</v>
      </c>
      <c r="D404" s="693"/>
      <c r="E404" s="693"/>
      <c r="F404" s="693"/>
      <c r="G404" s="687"/>
      <c r="H404" s="687"/>
      <c r="I404" s="687"/>
      <c r="J404" s="469"/>
      <c r="K404" s="469"/>
      <c r="L404" s="279" t="str">
        <f t="shared" si="5"/>
        <v>-</v>
      </c>
      <c r="M404" s="16" t="str">
        <f t="shared" si="8"/>
        <v/>
      </c>
    </row>
    <row r="405" spans="3:13" hidden="1" outlineLevel="1" x14ac:dyDescent="0.3">
      <c r="C405" s="383">
        <v>83</v>
      </c>
      <c r="D405" s="693"/>
      <c r="E405" s="693"/>
      <c r="F405" s="693"/>
      <c r="G405" s="687"/>
      <c r="H405" s="687"/>
      <c r="I405" s="687"/>
      <c r="J405" s="469"/>
      <c r="K405" s="469"/>
      <c r="L405" s="279" t="str">
        <f t="shared" si="5"/>
        <v>-</v>
      </c>
      <c r="M405" s="16" t="str">
        <f t="shared" si="8"/>
        <v/>
      </c>
    </row>
    <row r="406" spans="3:13" hidden="1" outlineLevel="1" x14ac:dyDescent="0.3">
      <c r="C406" s="383">
        <v>84</v>
      </c>
      <c r="D406" s="693"/>
      <c r="E406" s="693"/>
      <c r="F406" s="693"/>
      <c r="G406" s="687"/>
      <c r="H406" s="687"/>
      <c r="I406" s="687"/>
      <c r="J406" s="469"/>
      <c r="K406" s="469"/>
      <c r="L406" s="279" t="str">
        <f t="shared" si="5"/>
        <v>-</v>
      </c>
      <c r="M406" s="16" t="str">
        <f t="shared" si="8"/>
        <v/>
      </c>
    </row>
    <row r="407" spans="3:13" hidden="1" outlineLevel="1" x14ac:dyDescent="0.3">
      <c r="C407" s="383">
        <v>85</v>
      </c>
      <c r="D407" s="693"/>
      <c r="E407" s="693"/>
      <c r="F407" s="693"/>
      <c r="G407" s="687"/>
      <c r="H407" s="687"/>
      <c r="I407" s="687"/>
      <c r="J407" s="469"/>
      <c r="K407" s="469"/>
      <c r="L407" s="279" t="str">
        <f t="shared" si="5"/>
        <v>-</v>
      </c>
      <c r="M407" s="16" t="str">
        <f t="shared" si="8"/>
        <v/>
      </c>
    </row>
    <row r="408" spans="3:13" hidden="1" outlineLevel="1" x14ac:dyDescent="0.3">
      <c r="C408" s="383">
        <v>86</v>
      </c>
      <c r="D408" s="693"/>
      <c r="E408" s="693"/>
      <c r="F408" s="693"/>
      <c r="G408" s="687"/>
      <c r="H408" s="687"/>
      <c r="I408" s="687"/>
      <c r="J408" s="469"/>
      <c r="K408" s="469"/>
      <c r="L408" s="279" t="str">
        <f t="shared" si="5"/>
        <v>-</v>
      </c>
      <c r="M408" s="16" t="str">
        <f t="shared" si="8"/>
        <v/>
      </c>
    </row>
    <row r="409" spans="3:13" hidden="1" outlineLevel="1" x14ac:dyDescent="0.3">
      <c r="C409" s="383">
        <v>87</v>
      </c>
      <c r="D409" s="693"/>
      <c r="E409" s="693"/>
      <c r="F409" s="693"/>
      <c r="G409" s="687"/>
      <c r="H409" s="687"/>
      <c r="I409" s="687"/>
      <c r="J409" s="469"/>
      <c r="K409" s="469"/>
      <c r="L409" s="279" t="str">
        <f t="shared" si="5"/>
        <v>-</v>
      </c>
      <c r="M409" s="16" t="str">
        <f t="shared" si="8"/>
        <v/>
      </c>
    </row>
    <row r="410" spans="3:13" hidden="1" outlineLevel="1" x14ac:dyDescent="0.3">
      <c r="C410" s="383">
        <v>88</v>
      </c>
      <c r="D410" s="693"/>
      <c r="E410" s="693"/>
      <c r="F410" s="693"/>
      <c r="G410" s="687"/>
      <c r="H410" s="687"/>
      <c r="I410" s="687"/>
      <c r="J410" s="469"/>
      <c r="K410" s="469"/>
      <c r="L410" s="279" t="str">
        <f t="shared" si="5"/>
        <v>-</v>
      </c>
      <c r="M410" s="16" t="str">
        <f t="shared" si="8"/>
        <v/>
      </c>
    </row>
    <row r="411" spans="3:13" hidden="1" outlineLevel="1" x14ac:dyDescent="0.3">
      <c r="C411" s="383">
        <v>89</v>
      </c>
      <c r="D411" s="693"/>
      <c r="E411" s="693"/>
      <c r="F411" s="693"/>
      <c r="G411" s="687"/>
      <c r="H411" s="687"/>
      <c r="I411" s="687"/>
      <c r="J411" s="469"/>
      <c r="K411" s="469"/>
      <c r="L411" s="279" t="str">
        <f t="shared" si="5"/>
        <v>-</v>
      </c>
      <c r="M411" s="16" t="str">
        <f t="shared" si="8"/>
        <v/>
      </c>
    </row>
    <row r="412" spans="3:13" hidden="1" outlineLevel="1" x14ac:dyDescent="0.3">
      <c r="C412" s="383">
        <v>90</v>
      </c>
      <c r="D412" s="693"/>
      <c r="E412" s="693"/>
      <c r="F412" s="693"/>
      <c r="G412" s="687"/>
      <c r="H412" s="687"/>
      <c r="I412" s="687"/>
      <c r="J412" s="469"/>
      <c r="K412" s="469"/>
      <c r="L412" s="279" t="str">
        <f t="shared" si="5"/>
        <v>-</v>
      </c>
      <c r="M412" s="16" t="str">
        <f t="shared" si="8"/>
        <v/>
      </c>
    </row>
    <row r="413" spans="3:13" hidden="1" outlineLevel="1" x14ac:dyDescent="0.3">
      <c r="C413" s="383">
        <v>91</v>
      </c>
      <c r="D413" s="693"/>
      <c r="E413" s="693"/>
      <c r="F413" s="693"/>
      <c r="G413" s="687"/>
      <c r="H413" s="687"/>
      <c r="I413" s="687"/>
      <c r="J413" s="469"/>
      <c r="K413" s="469"/>
      <c r="L413" s="279" t="str">
        <f t="shared" si="5"/>
        <v>-</v>
      </c>
      <c r="M413" s="16" t="str">
        <f t="shared" si="8"/>
        <v/>
      </c>
    </row>
    <row r="414" spans="3:13" hidden="1" outlineLevel="1" x14ac:dyDescent="0.3">
      <c r="C414" s="383">
        <v>92</v>
      </c>
      <c r="D414" s="693"/>
      <c r="E414" s="693"/>
      <c r="F414" s="693"/>
      <c r="G414" s="687"/>
      <c r="H414" s="687"/>
      <c r="I414" s="687"/>
      <c r="J414" s="469"/>
      <c r="K414" s="469"/>
      <c r="L414" s="279" t="str">
        <f t="shared" si="5"/>
        <v>-</v>
      </c>
      <c r="M414" s="16" t="str">
        <f t="shared" si="8"/>
        <v/>
      </c>
    </row>
    <row r="415" spans="3:13" hidden="1" outlineLevel="1" x14ac:dyDescent="0.3">
      <c r="C415" s="383">
        <v>93</v>
      </c>
      <c r="D415" s="693"/>
      <c r="E415" s="693"/>
      <c r="F415" s="693"/>
      <c r="G415" s="687"/>
      <c r="H415" s="687"/>
      <c r="I415" s="687"/>
      <c r="J415" s="469"/>
      <c r="K415" s="469"/>
      <c r="L415" s="279" t="str">
        <f t="shared" si="5"/>
        <v>-</v>
      </c>
      <c r="M415" s="16" t="str">
        <f t="shared" si="8"/>
        <v/>
      </c>
    </row>
    <row r="416" spans="3:13" hidden="1" outlineLevel="1" x14ac:dyDescent="0.3">
      <c r="C416" s="383">
        <v>94</v>
      </c>
      <c r="D416" s="693"/>
      <c r="E416" s="693"/>
      <c r="F416" s="693"/>
      <c r="G416" s="687"/>
      <c r="H416" s="687"/>
      <c r="I416" s="687"/>
      <c r="J416" s="469"/>
      <c r="K416" s="469"/>
      <c r="L416" s="279" t="str">
        <f t="shared" si="5"/>
        <v>-</v>
      </c>
      <c r="M416" s="16" t="str">
        <f t="shared" si="8"/>
        <v/>
      </c>
    </row>
    <row r="417" spans="3:13" hidden="1" outlineLevel="1" x14ac:dyDescent="0.3">
      <c r="C417" s="383">
        <v>95</v>
      </c>
      <c r="D417" s="693"/>
      <c r="E417" s="693"/>
      <c r="F417" s="693"/>
      <c r="G417" s="687"/>
      <c r="H417" s="687"/>
      <c r="I417" s="687"/>
      <c r="J417" s="469"/>
      <c r="K417" s="469"/>
      <c r="L417" s="279" t="str">
        <f t="shared" si="5"/>
        <v>-</v>
      </c>
      <c r="M417" s="16" t="str">
        <f t="shared" si="8"/>
        <v/>
      </c>
    </row>
    <row r="418" spans="3:13" hidden="1" outlineLevel="1" x14ac:dyDescent="0.3">
      <c r="C418" s="383">
        <v>96</v>
      </c>
      <c r="D418" s="693"/>
      <c r="E418" s="693"/>
      <c r="F418" s="693"/>
      <c r="G418" s="687"/>
      <c r="H418" s="687"/>
      <c r="I418" s="687"/>
      <c r="J418" s="469"/>
      <c r="K418" s="469"/>
      <c r="L418" s="279" t="str">
        <f t="shared" si="5"/>
        <v>-</v>
      </c>
      <c r="M418" s="16" t="str">
        <f t="shared" si="8"/>
        <v/>
      </c>
    </row>
    <row r="419" spans="3:13" hidden="1" outlineLevel="1" x14ac:dyDescent="0.3">
      <c r="C419" s="383">
        <v>97</v>
      </c>
      <c r="D419" s="693"/>
      <c r="E419" s="693"/>
      <c r="F419" s="693"/>
      <c r="G419" s="687"/>
      <c r="H419" s="687"/>
      <c r="I419" s="687"/>
      <c r="J419" s="469"/>
      <c r="K419" s="469"/>
      <c r="L419" s="279" t="str">
        <f t="shared" si="5"/>
        <v>-</v>
      </c>
      <c r="M419" s="16" t="str">
        <f t="shared" si="8"/>
        <v/>
      </c>
    </row>
    <row r="420" spans="3:13" hidden="1" outlineLevel="1" x14ac:dyDescent="0.3">
      <c r="C420" s="383">
        <v>98</v>
      </c>
      <c r="D420" s="693"/>
      <c r="E420" s="693"/>
      <c r="F420" s="693"/>
      <c r="G420" s="687"/>
      <c r="H420" s="687"/>
      <c r="I420" s="687"/>
      <c r="J420" s="469"/>
      <c r="K420" s="469"/>
      <c r="L420" s="279" t="str">
        <f t="shared" si="5"/>
        <v>-</v>
      </c>
      <c r="M420" s="16" t="str">
        <f t="shared" si="8"/>
        <v/>
      </c>
    </row>
    <row r="421" spans="3:13" hidden="1" outlineLevel="1" x14ac:dyDescent="0.3">
      <c r="C421" s="383">
        <v>99</v>
      </c>
      <c r="D421" s="693"/>
      <c r="E421" s="693"/>
      <c r="F421" s="693"/>
      <c r="G421" s="687"/>
      <c r="H421" s="687"/>
      <c r="I421" s="687"/>
      <c r="J421" s="469"/>
      <c r="K421" s="469"/>
      <c r="L421" s="279" t="str">
        <f t="shared" si="5"/>
        <v>-</v>
      </c>
      <c r="M421" s="16" t="str">
        <f t="shared" si="8"/>
        <v/>
      </c>
    </row>
    <row r="422" spans="3:13" ht="15" hidden="1" outlineLevel="1" thickBot="1" x14ac:dyDescent="0.35">
      <c r="C422" s="383">
        <v>100</v>
      </c>
      <c r="D422" s="884"/>
      <c r="E422" s="884"/>
      <c r="F422" s="884"/>
      <c r="G422" s="886"/>
      <c r="H422" s="886"/>
      <c r="I422" s="886"/>
      <c r="J422" s="284"/>
      <c r="K422" s="284"/>
      <c r="L422" s="281" t="str">
        <f t="shared" si="5"/>
        <v>-</v>
      </c>
      <c r="M422" s="16" t="str">
        <f t="shared" si="8"/>
        <v/>
      </c>
    </row>
    <row r="423" spans="3:13" collapsed="1" x14ac:dyDescent="0.3">
      <c r="C423" s="867" t="str">
        <f>template_label_total_amount_of_waste_generated</f>
        <v>Total amount of waste generated</v>
      </c>
      <c r="D423" s="920" t="str">
        <f>template_label_total_hazardous_waste_generated_mass</f>
        <v>Total Hazardous waste generated (mass)</v>
      </c>
      <c r="E423" s="920"/>
      <c r="F423" s="921"/>
      <c r="G423" s="916"/>
      <c r="H423" s="916"/>
      <c r="I423" s="917"/>
      <c r="J423" s="941"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941"/>
      <c r="L423" s="942"/>
      <c r="M423" s="16" t="str" cm="1">
        <f t="array" ref="M423">IF(G423="",
    IF(SUMPRODUCT(--((G323:G422="metric tonnes (t)")+(G323:G422="kilograms (kg)")))&gt;0,
        template_label_missing_value,
        ""
    ),
    IF(SUMPRODUCT(--((G323:G422="metric tonnes (t)")+(G323:G422="kilograms (kg)")))&gt;0,
        template_label_ok,
        ""
    )
)</f>
        <v/>
      </c>
    </row>
    <row r="424" spans="3:13" x14ac:dyDescent="0.3">
      <c r="C424" s="868"/>
      <c r="D424" s="690" t="str">
        <f>template_label_total_non_hazardous_waste_generated_mass</f>
        <v>Total Non-Hazardous waste generated (mass)</v>
      </c>
      <c r="E424" s="690"/>
      <c r="F424" s="691"/>
      <c r="G424" s="911" t="str">
        <f>IF($G$423="", "-", $G$423)</f>
        <v>-</v>
      </c>
      <c r="H424" s="911"/>
      <c r="I424" s="913"/>
      <c r="J424" s="836"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836"/>
      <c r="L424" s="910"/>
    </row>
    <row r="425" spans="3:13" ht="15" thickBot="1" x14ac:dyDescent="0.35">
      <c r="C425" s="868"/>
      <c r="D425" s="918" t="str">
        <f>template_label_total_waste_generated_mass</f>
        <v>Total waste generated (mass)</v>
      </c>
      <c r="E425" s="918"/>
      <c r="F425" s="919"/>
      <c r="G425" s="911" t="str">
        <f>IF($G$423="", "-", $G$423)</f>
        <v>-</v>
      </c>
      <c r="H425" s="912"/>
      <c r="I425" s="915"/>
      <c r="J425" s="720" t="str">
        <f>IF(AND(J423="-",J424="-"),"-",SUM(J423:L424))</f>
        <v>-</v>
      </c>
      <c r="K425" s="720"/>
      <c r="L425" s="909"/>
    </row>
    <row r="426" spans="3:13" x14ac:dyDescent="0.3">
      <c r="C426" s="868"/>
      <c r="D426" s="688" t="str">
        <f>template_label_total_hazardous_waste_generated_volume</f>
        <v>Total Hazardous waste generated (volume)</v>
      </c>
      <c r="E426" s="688"/>
      <c r="F426" s="689"/>
      <c r="G426" s="692" t="str">
        <f>template_label_cubic_meters</f>
        <v>cubic meters (m³)</v>
      </c>
      <c r="H426" s="692"/>
      <c r="I426" s="692"/>
      <c r="J426" s="944" t="str">
        <f>IF(
    AND(
        COUNTA(D323:D422)=0,
        COUNTA(J323:J422)=0,
        COUNTA(K323:K422)=0
    ),
    "-",
    SUMIFS(L323:L422, D323:D422,"* Hazardous *", G323:G422,"*cubic meters (m3)*")
)</f>
        <v>-</v>
      </c>
      <c r="K426" s="944"/>
      <c r="L426" s="945"/>
    </row>
    <row r="427" spans="3:13" x14ac:dyDescent="0.3">
      <c r="C427" s="868"/>
      <c r="D427" s="690" t="str">
        <f>template_label_total_non_hazardous_waste_generated_volume</f>
        <v>Total Non-Hazardous waste generated (volume)</v>
      </c>
      <c r="E427" s="690"/>
      <c r="F427" s="691"/>
      <c r="G427" s="911" t="str">
        <f>template_label_cubic_meters</f>
        <v>cubic meters (m³)</v>
      </c>
      <c r="H427" s="911"/>
      <c r="I427" s="911"/>
      <c r="J427" s="836" t="str">
        <f>IF(
    AND(
        COUNTA(D323:D422)=0,
        COUNTA(J323:J422)=0,
        COUNTA(K323:K422)=0
    ),
    "-",
    SUMIFS(L323:L422, D323:D422,"*Non-Hazardous*", G323:G422,"*cubic meters (m3)*")
)</f>
        <v>-</v>
      </c>
      <c r="K427" s="836"/>
      <c r="L427" s="910"/>
    </row>
    <row r="428" spans="3:13" ht="15" thickBot="1" x14ac:dyDescent="0.35">
      <c r="C428" s="869"/>
      <c r="D428" s="918" t="str">
        <f>template_label_total_waste_generated_volume</f>
        <v>Total waste generated (volume)</v>
      </c>
      <c r="E428" s="918"/>
      <c r="F428" s="919"/>
      <c r="G428" s="912" t="str">
        <f>template_label_cubic_meters</f>
        <v>cubic meters (m³)</v>
      </c>
      <c r="H428" s="912"/>
      <c r="I428" s="912"/>
      <c r="J428" s="720" t="str">
        <f>IF(AND(J426="-",J427="-"),"-",SUM(J426:L427))</f>
        <v>-</v>
      </c>
      <c r="K428" s="720"/>
      <c r="L428" s="909"/>
    </row>
    <row r="429" spans="3:13" ht="15" thickBot="1" x14ac:dyDescent="0.35"/>
    <row r="430" spans="3:13" x14ac:dyDescent="0.3">
      <c r="C430" s="760"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761"/>
      <c r="E430" s="761"/>
      <c r="F430" s="761"/>
      <c r="G430" s="761"/>
      <c r="H430" s="761"/>
      <c r="I430" s="761"/>
      <c r="J430" s="762"/>
    </row>
    <row r="431" spans="3:13" x14ac:dyDescent="0.3">
      <c r="C431" s="763" t="s">
        <v>3749</v>
      </c>
      <c r="D431" s="764"/>
      <c r="E431" s="764"/>
      <c r="F431" s="764"/>
      <c r="G431" s="764"/>
      <c r="H431" s="764"/>
      <c r="I431" s="764"/>
      <c r="J431" s="765"/>
    </row>
    <row r="432" spans="3:13" x14ac:dyDescent="0.3">
      <c r="C432" s="694" t="s">
        <v>5653</v>
      </c>
      <c r="D432" s="695"/>
      <c r="E432" s="695"/>
      <c r="F432" s="695"/>
      <c r="G432" s="695"/>
      <c r="H432" s="695"/>
      <c r="I432" s="695"/>
      <c r="J432" s="696"/>
      <c r="K432" s="11"/>
      <c r="L432" s="11"/>
    </row>
    <row r="433" spans="3:12" ht="30" customHeight="1" x14ac:dyDescent="0.3">
      <c r="C433" s="656" t="str">
        <f>template_label_does_the_undertaking_operate_in_a_sector_using_significant_material_flows</f>
        <v>Does the undertaking the undertaking operate in a sector using significant material flows (for example manufacturing construction packaging or others)?</v>
      </c>
      <c r="D433" s="939"/>
      <c r="E433" s="939"/>
      <c r="F433" s="940"/>
      <c r="G433" s="658" t="b">
        <v>0</v>
      </c>
      <c r="H433" s="659"/>
      <c r="I433" s="659"/>
      <c r="J433" s="660"/>
    </row>
    <row r="434" spans="3:12" ht="43.5" customHeight="1" x14ac:dyDescent="0.3">
      <c r="C434" s="142" t="str">
        <f>template_label_row_id</f>
        <v>Row ID</v>
      </c>
      <c r="D434" s="837" t="str">
        <f>template_label_name_of_the_key_material</f>
        <v>Name of the key material</v>
      </c>
      <c r="E434" s="837"/>
      <c r="F434" s="837"/>
      <c r="G434" s="837" t="str">
        <f>template_label_mass_volume</f>
        <v>Mass / Volume</v>
      </c>
      <c r="H434" s="837"/>
      <c r="I434" s="837"/>
      <c r="J434" s="107" t="str">
        <f>template_label_unit_of_measurement</f>
        <v>Unit of measurement</v>
      </c>
    </row>
    <row r="435" spans="3:12" x14ac:dyDescent="0.3">
      <c r="C435" s="231">
        <v>1</v>
      </c>
      <c r="D435" s="697"/>
      <c r="E435" s="697"/>
      <c r="F435" s="697"/>
      <c r="G435" s="683"/>
      <c r="H435" s="683"/>
      <c r="I435" s="683"/>
      <c r="J435" s="145"/>
      <c r="K435" s="17" t="str">
        <f>IF(AND(G433=TRUE,D435&lt;&gt;"",G435&lt;&gt;"",J435&lt;&gt;""),
    template_label_ok,
    IF(AND(G433=TRUE,OR(D435="",G435="",J435="")),
        template_label_missing_value,
        ""
    )
)</f>
        <v/>
      </c>
    </row>
    <row r="436" spans="3:12" x14ac:dyDescent="0.3">
      <c r="C436" s="231">
        <v>2</v>
      </c>
      <c r="D436" s="825"/>
      <c r="E436" s="825"/>
      <c r="F436" s="825"/>
      <c r="G436" s="683"/>
      <c r="H436" s="683"/>
      <c r="I436" s="683"/>
      <c r="J436" s="145"/>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31">
        <v>3</v>
      </c>
      <c r="D437" s="825"/>
      <c r="E437" s="825"/>
      <c r="F437" s="825"/>
      <c r="G437" s="683"/>
      <c r="H437" s="683"/>
      <c r="I437" s="683"/>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825"/>
      <c r="E438" s="825"/>
      <c r="F438" s="825"/>
      <c r="G438" s="683"/>
      <c r="H438" s="683"/>
      <c r="I438" s="683"/>
      <c r="J438" s="145"/>
      <c r="K438" s="17" t="str">
        <f t="shared" si="9"/>
        <v/>
      </c>
    </row>
    <row r="439" spans="3:12" hidden="1" outlineLevel="2" x14ac:dyDescent="0.3">
      <c r="C439" s="231">
        <v>5</v>
      </c>
      <c r="D439" s="825"/>
      <c r="E439" s="825"/>
      <c r="F439" s="825"/>
      <c r="G439" s="683"/>
      <c r="H439" s="683"/>
      <c r="I439" s="683"/>
      <c r="J439" s="145"/>
      <c r="K439" s="17" t="str">
        <f t="shared" si="9"/>
        <v/>
      </c>
    </row>
    <row r="440" spans="3:12" hidden="1" outlineLevel="2" x14ac:dyDescent="0.3">
      <c r="C440" s="231">
        <v>6</v>
      </c>
      <c r="D440" s="697"/>
      <c r="E440" s="697"/>
      <c r="F440" s="697"/>
      <c r="G440" s="683"/>
      <c r="H440" s="683"/>
      <c r="I440" s="683"/>
      <c r="J440" s="145"/>
      <c r="K440" s="17" t="str">
        <f t="shared" si="9"/>
        <v/>
      </c>
    </row>
    <row r="441" spans="3:12" hidden="1" outlineLevel="2" x14ac:dyDescent="0.3">
      <c r="C441" s="231">
        <v>7</v>
      </c>
      <c r="D441" s="697"/>
      <c r="E441" s="697"/>
      <c r="F441" s="697"/>
      <c r="G441" s="683"/>
      <c r="H441" s="683"/>
      <c r="I441" s="683"/>
      <c r="J441" s="145"/>
      <c r="K441" s="17" t="str">
        <f t="shared" si="9"/>
        <v/>
      </c>
    </row>
    <row r="442" spans="3:12" hidden="1" outlineLevel="2" x14ac:dyDescent="0.3">
      <c r="C442" s="231">
        <v>8</v>
      </c>
      <c r="D442" s="697"/>
      <c r="E442" s="697"/>
      <c r="F442" s="697"/>
      <c r="G442" s="683"/>
      <c r="H442" s="683"/>
      <c r="I442" s="683"/>
      <c r="J442" s="145"/>
      <c r="K442" s="17" t="str">
        <f t="shared" si="9"/>
        <v/>
      </c>
    </row>
    <row r="443" spans="3:12" hidden="1" outlineLevel="2" x14ac:dyDescent="0.3">
      <c r="C443" s="231">
        <v>9</v>
      </c>
      <c r="D443" s="697"/>
      <c r="E443" s="697"/>
      <c r="F443" s="697"/>
      <c r="G443" s="683"/>
      <c r="H443" s="683"/>
      <c r="I443" s="683"/>
      <c r="J443" s="145"/>
      <c r="K443" s="17" t="str">
        <f t="shared" si="9"/>
        <v/>
      </c>
    </row>
    <row r="444" spans="3:12" hidden="1" outlineLevel="2" x14ac:dyDescent="0.3">
      <c r="C444" s="231">
        <v>10</v>
      </c>
      <c r="D444" s="697"/>
      <c r="E444" s="697"/>
      <c r="F444" s="697"/>
      <c r="G444" s="683"/>
      <c r="H444" s="683"/>
      <c r="I444" s="683"/>
      <c r="J444" s="145"/>
      <c r="K444" s="17" t="str">
        <f t="shared" si="9"/>
        <v/>
      </c>
    </row>
    <row r="445" spans="3:12" hidden="1" outlineLevel="2" x14ac:dyDescent="0.3">
      <c r="C445" s="231">
        <v>11</v>
      </c>
      <c r="D445" s="684"/>
      <c r="E445" s="685"/>
      <c r="F445" s="686"/>
      <c r="G445" s="683"/>
      <c r="H445" s="683"/>
      <c r="I445" s="683"/>
      <c r="J445" s="145"/>
      <c r="K445" s="17" t="str">
        <f t="shared" si="9"/>
        <v/>
      </c>
    </row>
    <row r="446" spans="3:12" hidden="1" outlineLevel="2" x14ac:dyDescent="0.3">
      <c r="C446" s="231">
        <v>12</v>
      </c>
      <c r="D446" s="684"/>
      <c r="E446" s="685"/>
      <c r="F446" s="686"/>
      <c r="G446" s="683"/>
      <c r="H446" s="683"/>
      <c r="I446" s="683"/>
      <c r="J446" s="145"/>
      <c r="K446" s="17" t="str">
        <f t="shared" si="9"/>
        <v/>
      </c>
    </row>
    <row r="447" spans="3:12" hidden="1" outlineLevel="2" x14ac:dyDescent="0.3">
      <c r="C447" s="231">
        <v>13</v>
      </c>
      <c r="D447" s="684"/>
      <c r="E447" s="685"/>
      <c r="F447" s="686"/>
      <c r="G447" s="683"/>
      <c r="H447" s="683"/>
      <c r="I447" s="683"/>
      <c r="J447" s="145"/>
      <c r="K447" s="17" t="str">
        <f t="shared" si="9"/>
        <v/>
      </c>
    </row>
    <row r="448" spans="3:12" hidden="1" outlineLevel="2" x14ac:dyDescent="0.3">
      <c r="C448" s="231">
        <v>14</v>
      </c>
      <c r="D448" s="684"/>
      <c r="E448" s="685"/>
      <c r="F448" s="686"/>
      <c r="G448" s="683"/>
      <c r="H448" s="683"/>
      <c r="I448" s="683"/>
      <c r="J448" s="145"/>
      <c r="K448" s="17" t="str">
        <f t="shared" si="9"/>
        <v/>
      </c>
    </row>
    <row r="449" spans="3:11" hidden="1" outlineLevel="2" x14ac:dyDescent="0.3">
      <c r="C449" s="231">
        <v>15</v>
      </c>
      <c r="D449" s="684"/>
      <c r="E449" s="685"/>
      <c r="F449" s="686"/>
      <c r="G449" s="683"/>
      <c r="H449" s="683"/>
      <c r="I449" s="683"/>
      <c r="J449" s="145"/>
      <c r="K449" s="17" t="str">
        <f t="shared" si="9"/>
        <v/>
      </c>
    </row>
    <row r="450" spans="3:11" hidden="1" outlineLevel="2" x14ac:dyDescent="0.3">
      <c r="C450" s="231">
        <v>16</v>
      </c>
      <c r="D450" s="684"/>
      <c r="E450" s="685"/>
      <c r="F450" s="686"/>
      <c r="G450" s="683"/>
      <c r="H450" s="683"/>
      <c r="I450" s="683"/>
      <c r="J450" s="145"/>
      <c r="K450" s="17" t="str">
        <f t="shared" si="9"/>
        <v/>
      </c>
    </row>
    <row r="451" spans="3:11" hidden="1" outlineLevel="2" x14ac:dyDescent="0.3">
      <c r="C451" s="231">
        <v>17</v>
      </c>
      <c r="D451" s="684"/>
      <c r="E451" s="685"/>
      <c r="F451" s="686"/>
      <c r="G451" s="683"/>
      <c r="H451" s="683"/>
      <c r="I451" s="683"/>
      <c r="J451" s="145"/>
      <c r="K451" s="17" t="str">
        <f t="shared" si="9"/>
        <v/>
      </c>
    </row>
    <row r="452" spans="3:11" hidden="1" outlineLevel="2" x14ac:dyDescent="0.3">
      <c r="C452" s="231">
        <v>18</v>
      </c>
      <c r="D452" s="684"/>
      <c r="E452" s="685"/>
      <c r="F452" s="686"/>
      <c r="G452" s="683"/>
      <c r="H452" s="683"/>
      <c r="I452" s="683"/>
      <c r="J452" s="145"/>
      <c r="K452" s="17" t="str">
        <f t="shared" si="9"/>
        <v/>
      </c>
    </row>
    <row r="453" spans="3:11" hidden="1" outlineLevel="2" x14ac:dyDescent="0.3">
      <c r="C453" s="231">
        <v>19</v>
      </c>
      <c r="D453" s="684"/>
      <c r="E453" s="685"/>
      <c r="F453" s="686"/>
      <c r="G453" s="683"/>
      <c r="H453" s="683"/>
      <c r="I453" s="683"/>
      <c r="J453" s="145"/>
      <c r="K453" s="17" t="str">
        <f t="shared" si="9"/>
        <v/>
      </c>
    </row>
    <row r="454" spans="3:11" hidden="1" outlineLevel="2" x14ac:dyDescent="0.3">
      <c r="C454" s="231">
        <v>20</v>
      </c>
      <c r="D454" s="684"/>
      <c r="E454" s="685"/>
      <c r="F454" s="686"/>
      <c r="G454" s="683"/>
      <c r="H454" s="683"/>
      <c r="I454" s="683"/>
      <c r="J454" s="145"/>
      <c r="K454" s="17" t="str">
        <f t="shared" si="9"/>
        <v/>
      </c>
    </row>
    <row r="455" spans="3:11" hidden="1" outlineLevel="2" x14ac:dyDescent="0.3">
      <c r="C455" s="231">
        <v>21</v>
      </c>
      <c r="D455" s="684"/>
      <c r="E455" s="685"/>
      <c r="F455" s="686"/>
      <c r="G455" s="683"/>
      <c r="H455" s="683"/>
      <c r="I455" s="683"/>
      <c r="J455" s="145"/>
      <c r="K455" s="17" t="str">
        <f t="shared" si="9"/>
        <v/>
      </c>
    </row>
    <row r="456" spans="3:11" hidden="1" outlineLevel="2" x14ac:dyDescent="0.3">
      <c r="C456" s="231">
        <v>22</v>
      </c>
      <c r="D456" s="684"/>
      <c r="E456" s="685"/>
      <c r="F456" s="686"/>
      <c r="G456" s="683"/>
      <c r="H456" s="683"/>
      <c r="I456" s="683"/>
      <c r="J456" s="145"/>
      <c r="K456" s="17" t="str">
        <f t="shared" si="9"/>
        <v/>
      </c>
    </row>
    <row r="457" spans="3:11" hidden="1" outlineLevel="2" x14ac:dyDescent="0.3">
      <c r="C457" s="231">
        <v>23</v>
      </c>
      <c r="D457" s="684"/>
      <c r="E457" s="685"/>
      <c r="F457" s="686"/>
      <c r="G457" s="683"/>
      <c r="H457" s="683"/>
      <c r="I457" s="683"/>
      <c r="J457" s="145"/>
      <c r="K457" s="17" t="str">
        <f t="shared" si="9"/>
        <v/>
      </c>
    </row>
    <row r="458" spans="3:11" hidden="1" outlineLevel="2" x14ac:dyDescent="0.3">
      <c r="C458" s="231">
        <v>24</v>
      </c>
      <c r="D458" s="684"/>
      <c r="E458" s="685"/>
      <c r="F458" s="686"/>
      <c r="G458" s="683"/>
      <c r="H458" s="683"/>
      <c r="I458" s="683"/>
      <c r="J458" s="145"/>
      <c r="K458" s="17" t="str">
        <f t="shared" si="9"/>
        <v/>
      </c>
    </row>
    <row r="459" spans="3:11" hidden="1" outlineLevel="2" x14ac:dyDescent="0.3">
      <c r="C459" s="231">
        <v>25</v>
      </c>
      <c r="D459" s="684"/>
      <c r="E459" s="685"/>
      <c r="F459" s="686"/>
      <c r="G459" s="683"/>
      <c r="H459" s="683"/>
      <c r="I459" s="683"/>
      <c r="J459" s="145"/>
      <c r="K459" s="17" t="str">
        <f t="shared" si="9"/>
        <v/>
      </c>
    </row>
    <row r="460" spans="3:11" hidden="1" outlineLevel="2" x14ac:dyDescent="0.3">
      <c r="C460" s="231">
        <v>26</v>
      </c>
      <c r="D460" s="684"/>
      <c r="E460" s="685"/>
      <c r="F460" s="686"/>
      <c r="G460" s="683"/>
      <c r="H460" s="683"/>
      <c r="I460" s="683"/>
      <c r="J460" s="145"/>
      <c r="K460" s="17" t="str">
        <f t="shared" si="9"/>
        <v/>
      </c>
    </row>
    <row r="461" spans="3:11" hidden="1" outlineLevel="2" x14ac:dyDescent="0.3">
      <c r="C461" s="231">
        <v>27</v>
      </c>
      <c r="D461" s="684"/>
      <c r="E461" s="685"/>
      <c r="F461" s="686"/>
      <c r="G461" s="683"/>
      <c r="H461" s="683"/>
      <c r="I461" s="683"/>
      <c r="J461" s="145"/>
      <c r="K461" s="17" t="str">
        <f t="shared" si="9"/>
        <v/>
      </c>
    </row>
    <row r="462" spans="3:11" hidden="1" outlineLevel="2" x14ac:dyDescent="0.3">
      <c r="C462" s="231">
        <v>28</v>
      </c>
      <c r="D462" s="684"/>
      <c r="E462" s="685"/>
      <c r="F462" s="686"/>
      <c r="G462" s="683"/>
      <c r="H462" s="683"/>
      <c r="I462" s="683"/>
      <c r="J462" s="145"/>
      <c r="K462" s="17" t="str">
        <f t="shared" si="9"/>
        <v/>
      </c>
    </row>
    <row r="463" spans="3:11" hidden="1" outlineLevel="2" x14ac:dyDescent="0.3">
      <c r="C463" s="231">
        <v>29</v>
      </c>
      <c r="D463" s="684"/>
      <c r="E463" s="685"/>
      <c r="F463" s="686"/>
      <c r="G463" s="683"/>
      <c r="H463" s="683"/>
      <c r="I463" s="683"/>
      <c r="J463" s="145"/>
      <c r="K463" s="17" t="str">
        <f t="shared" si="9"/>
        <v/>
      </c>
    </row>
    <row r="464" spans="3:11" hidden="1" outlineLevel="2" x14ac:dyDescent="0.3">
      <c r="C464" s="231">
        <v>30</v>
      </c>
      <c r="D464" s="684"/>
      <c r="E464" s="685"/>
      <c r="F464" s="686"/>
      <c r="G464" s="683"/>
      <c r="H464" s="683"/>
      <c r="I464" s="683"/>
      <c r="J464" s="145"/>
      <c r="K464" s="17" t="str">
        <f t="shared" si="9"/>
        <v/>
      </c>
    </row>
    <row r="465" spans="3:11" hidden="1" outlineLevel="2" x14ac:dyDescent="0.3">
      <c r="C465" s="231">
        <v>31</v>
      </c>
      <c r="D465" s="684"/>
      <c r="E465" s="685"/>
      <c r="F465" s="686"/>
      <c r="G465" s="683"/>
      <c r="H465" s="683"/>
      <c r="I465" s="683"/>
      <c r="J465" s="145"/>
      <c r="K465" s="17" t="str">
        <f t="shared" si="9"/>
        <v/>
      </c>
    </row>
    <row r="466" spans="3:11" hidden="1" outlineLevel="2" x14ac:dyDescent="0.3">
      <c r="C466" s="231">
        <v>32</v>
      </c>
      <c r="D466" s="684"/>
      <c r="E466" s="685"/>
      <c r="F466" s="686"/>
      <c r="G466" s="683"/>
      <c r="H466" s="683"/>
      <c r="I466" s="683"/>
      <c r="J466" s="145"/>
      <c r="K466" s="17" t="str">
        <f t="shared" si="9"/>
        <v/>
      </c>
    </row>
    <row r="467" spans="3:11" hidden="1" outlineLevel="2" x14ac:dyDescent="0.3">
      <c r="C467" s="231">
        <v>33</v>
      </c>
      <c r="D467" s="684"/>
      <c r="E467" s="685"/>
      <c r="F467" s="686"/>
      <c r="G467" s="683"/>
      <c r="H467" s="683"/>
      <c r="I467" s="683"/>
      <c r="J467" s="145"/>
      <c r="K467" s="17" t="str">
        <f t="shared" si="9"/>
        <v/>
      </c>
    </row>
    <row r="468" spans="3:11" hidden="1" outlineLevel="2" x14ac:dyDescent="0.3">
      <c r="C468" s="231">
        <v>34</v>
      </c>
      <c r="D468" s="684"/>
      <c r="E468" s="685"/>
      <c r="F468" s="686"/>
      <c r="G468" s="683"/>
      <c r="H468" s="683"/>
      <c r="I468" s="683"/>
      <c r="J468" s="145"/>
      <c r="K468" s="17" t="str">
        <f t="shared" si="9"/>
        <v/>
      </c>
    </row>
    <row r="469" spans="3:11" hidden="1" outlineLevel="2" x14ac:dyDescent="0.3">
      <c r="C469" s="231">
        <v>35</v>
      </c>
      <c r="D469" s="684"/>
      <c r="E469" s="685"/>
      <c r="F469" s="686"/>
      <c r="G469" s="683"/>
      <c r="H469" s="683"/>
      <c r="I469" s="683"/>
      <c r="J469" s="145"/>
      <c r="K469" s="17" t="str">
        <f t="shared" si="9"/>
        <v/>
      </c>
    </row>
    <row r="470" spans="3:11" hidden="1" outlineLevel="2" x14ac:dyDescent="0.3">
      <c r="C470" s="231">
        <v>36</v>
      </c>
      <c r="D470" s="684"/>
      <c r="E470" s="685"/>
      <c r="F470" s="686"/>
      <c r="G470" s="683"/>
      <c r="H470" s="683"/>
      <c r="I470" s="683"/>
      <c r="J470" s="145"/>
      <c r="K470" s="17" t="str">
        <f t="shared" si="9"/>
        <v/>
      </c>
    </row>
    <row r="471" spans="3:11" hidden="1" outlineLevel="2" x14ac:dyDescent="0.3">
      <c r="C471" s="231">
        <v>37</v>
      </c>
      <c r="D471" s="684"/>
      <c r="E471" s="685"/>
      <c r="F471" s="686"/>
      <c r="G471" s="683"/>
      <c r="H471" s="683"/>
      <c r="I471" s="683"/>
      <c r="J471" s="145"/>
      <c r="K471" s="17" t="str">
        <f t="shared" si="9"/>
        <v/>
      </c>
    </row>
    <row r="472" spans="3:11" hidden="1" outlineLevel="2" x14ac:dyDescent="0.3">
      <c r="C472" s="231">
        <v>38</v>
      </c>
      <c r="D472" s="684"/>
      <c r="E472" s="685"/>
      <c r="F472" s="686"/>
      <c r="G472" s="683"/>
      <c r="H472" s="683"/>
      <c r="I472" s="683"/>
      <c r="J472" s="145"/>
      <c r="K472" s="17" t="str">
        <f t="shared" si="9"/>
        <v/>
      </c>
    </row>
    <row r="473" spans="3:11" hidden="1" outlineLevel="2" x14ac:dyDescent="0.3">
      <c r="C473" s="231">
        <v>39</v>
      </c>
      <c r="D473" s="684"/>
      <c r="E473" s="685"/>
      <c r="F473" s="686"/>
      <c r="G473" s="683"/>
      <c r="H473" s="683"/>
      <c r="I473" s="683"/>
      <c r="J473" s="145"/>
      <c r="K473" s="17" t="str">
        <f t="shared" si="9"/>
        <v/>
      </c>
    </row>
    <row r="474" spans="3:11" hidden="1" outlineLevel="2" x14ac:dyDescent="0.3">
      <c r="C474" s="231">
        <v>40</v>
      </c>
      <c r="D474" s="684"/>
      <c r="E474" s="685"/>
      <c r="F474" s="686"/>
      <c r="G474" s="683"/>
      <c r="H474" s="683"/>
      <c r="I474" s="683"/>
      <c r="J474" s="145"/>
      <c r="K474" s="17" t="str">
        <f t="shared" si="9"/>
        <v/>
      </c>
    </row>
    <row r="475" spans="3:11" hidden="1" outlineLevel="2" x14ac:dyDescent="0.3">
      <c r="C475" s="231">
        <v>41</v>
      </c>
      <c r="D475" s="684"/>
      <c r="E475" s="685"/>
      <c r="F475" s="686"/>
      <c r="G475" s="683"/>
      <c r="H475" s="683"/>
      <c r="I475" s="683"/>
      <c r="J475" s="145"/>
      <c r="K475" s="17" t="str">
        <f t="shared" si="9"/>
        <v/>
      </c>
    </row>
    <row r="476" spans="3:11" hidden="1" outlineLevel="2" x14ac:dyDescent="0.3">
      <c r="C476" s="231">
        <v>42</v>
      </c>
      <c r="D476" s="684"/>
      <c r="E476" s="685"/>
      <c r="F476" s="686"/>
      <c r="G476" s="683"/>
      <c r="H476" s="683"/>
      <c r="I476" s="683"/>
      <c r="J476" s="145"/>
      <c r="K476" s="17" t="str">
        <f t="shared" si="9"/>
        <v/>
      </c>
    </row>
    <row r="477" spans="3:11" hidden="1" outlineLevel="2" x14ac:dyDescent="0.3">
      <c r="C477" s="231">
        <v>43</v>
      </c>
      <c r="D477" s="684"/>
      <c r="E477" s="685"/>
      <c r="F477" s="686"/>
      <c r="G477" s="683"/>
      <c r="H477" s="683"/>
      <c r="I477" s="683"/>
      <c r="J477" s="145"/>
      <c r="K477" s="17" t="str">
        <f t="shared" si="9"/>
        <v/>
      </c>
    </row>
    <row r="478" spans="3:11" hidden="1" outlineLevel="2" x14ac:dyDescent="0.3">
      <c r="C478" s="231">
        <v>44</v>
      </c>
      <c r="D478" s="684"/>
      <c r="E478" s="685"/>
      <c r="F478" s="686"/>
      <c r="G478" s="683"/>
      <c r="H478" s="683"/>
      <c r="I478" s="683"/>
      <c r="J478" s="145"/>
      <c r="K478" s="17" t="str">
        <f t="shared" si="9"/>
        <v/>
      </c>
    </row>
    <row r="479" spans="3:11" hidden="1" outlineLevel="2" x14ac:dyDescent="0.3">
      <c r="C479" s="231">
        <v>45</v>
      </c>
      <c r="D479" s="684"/>
      <c r="E479" s="685"/>
      <c r="F479" s="686"/>
      <c r="G479" s="683"/>
      <c r="H479" s="683"/>
      <c r="I479" s="683"/>
      <c r="J479" s="145"/>
      <c r="K479" s="17" t="str">
        <f t="shared" si="9"/>
        <v/>
      </c>
    </row>
    <row r="480" spans="3:11" hidden="1" outlineLevel="2" x14ac:dyDescent="0.3">
      <c r="C480" s="231">
        <v>46</v>
      </c>
      <c r="D480" s="684"/>
      <c r="E480" s="685"/>
      <c r="F480" s="686"/>
      <c r="G480" s="683"/>
      <c r="H480" s="683"/>
      <c r="I480" s="683"/>
      <c r="J480" s="145"/>
      <c r="K480" s="17" t="str">
        <f t="shared" si="9"/>
        <v/>
      </c>
    </row>
    <row r="481" spans="3:11" hidden="1" outlineLevel="2" x14ac:dyDescent="0.3">
      <c r="C481" s="231">
        <v>47</v>
      </c>
      <c r="D481" s="684"/>
      <c r="E481" s="685"/>
      <c r="F481" s="686"/>
      <c r="G481" s="683"/>
      <c r="H481" s="683"/>
      <c r="I481" s="683"/>
      <c r="J481" s="145"/>
      <c r="K481" s="17" t="str">
        <f t="shared" si="9"/>
        <v/>
      </c>
    </row>
    <row r="482" spans="3:11" hidden="1" outlineLevel="2" x14ac:dyDescent="0.3">
      <c r="C482" s="231">
        <v>48</v>
      </c>
      <c r="D482" s="684"/>
      <c r="E482" s="685"/>
      <c r="F482" s="686"/>
      <c r="G482" s="683"/>
      <c r="H482" s="683"/>
      <c r="I482" s="683"/>
      <c r="J482" s="145"/>
      <c r="K482" s="17" t="str">
        <f t="shared" si="9"/>
        <v/>
      </c>
    </row>
    <row r="483" spans="3:11" hidden="1" outlineLevel="2" x14ac:dyDescent="0.3">
      <c r="C483" s="231">
        <v>49</v>
      </c>
      <c r="D483" s="684"/>
      <c r="E483" s="685"/>
      <c r="F483" s="686"/>
      <c r="G483" s="683"/>
      <c r="H483" s="683"/>
      <c r="I483" s="683"/>
      <c r="J483" s="145"/>
      <c r="K483" s="17" t="str">
        <f t="shared" si="9"/>
        <v/>
      </c>
    </row>
    <row r="484" spans="3:11" hidden="1" outlineLevel="2" x14ac:dyDescent="0.3">
      <c r="C484" s="231">
        <v>50</v>
      </c>
      <c r="D484" s="684"/>
      <c r="E484" s="685"/>
      <c r="F484" s="686"/>
      <c r="G484" s="683"/>
      <c r="H484" s="683"/>
      <c r="I484" s="683"/>
      <c r="J484" s="145"/>
      <c r="K484" s="17" t="str">
        <f t="shared" si="9"/>
        <v/>
      </c>
    </row>
    <row r="485" spans="3:11" hidden="1" outlineLevel="2" x14ac:dyDescent="0.3">
      <c r="C485" s="231">
        <v>51</v>
      </c>
      <c r="D485" s="684"/>
      <c r="E485" s="685"/>
      <c r="F485" s="686"/>
      <c r="G485" s="683"/>
      <c r="H485" s="683"/>
      <c r="I485" s="683"/>
      <c r="J485" s="145"/>
      <c r="K485" s="17" t="str">
        <f t="shared" si="9"/>
        <v/>
      </c>
    </row>
    <row r="486" spans="3:11" hidden="1" outlineLevel="2" x14ac:dyDescent="0.3">
      <c r="C486" s="231">
        <v>52</v>
      </c>
      <c r="D486" s="684"/>
      <c r="E486" s="685"/>
      <c r="F486" s="686"/>
      <c r="G486" s="683"/>
      <c r="H486" s="683"/>
      <c r="I486" s="683"/>
      <c r="J486" s="145"/>
      <c r="K486" s="17" t="str">
        <f t="shared" si="9"/>
        <v/>
      </c>
    </row>
    <row r="487" spans="3:11" hidden="1" outlineLevel="2" x14ac:dyDescent="0.3">
      <c r="C487" s="231">
        <v>53</v>
      </c>
      <c r="D487" s="684"/>
      <c r="E487" s="685"/>
      <c r="F487" s="686"/>
      <c r="G487" s="683"/>
      <c r="H487" s="683"/>
      <c r="I487" s="683"/>
      <c r="J487" s="145"/>
      <c r="K487" s="17" t="str">
        <f t="shared" si="9"/>
        <v/>
      </c>
    </row>
    <row r="488" spans="3:11" hidden="1" outlineLevel="2" x14ac:dyDescent="0.3">
      <c r="C488" s="231">
        <v>54</v>
      </c>
      <c r="D488" s="684"/>
      <c r="E488" s="685"/>
      <c r="F488" s="686"/>
      <c r="G488" s="683"/>
      <c r="H488" s="683"/>
      <c r="I488" s="683"/>
      <c r="J488" s="145"/>
      <c r="K488" s="17" t="str">
        <f t="shared" si="9"/>
        <v/>
      </c>
    </row>
    <row r="489" spans="3:11" hidden="1" outlineLevel="2" x14ac:dyDescent="0.3">
      <c r="C489" s="231">
        <v>55</v>
      </c>
      <c r="D489" s="684"/>
      <c r="E489" s="685"/>
      <c r="F489" s="686"/>
      <c r="G489" s="683"/>
      <c r="H489" s="683"/>
      <c r="I489" s="683"/>
      <c r="J489" s="145"/>
      <c r="K489" s="17" t="str">
        <f t="shared" si="9"/>
        <v/>
      </c>
    </row>
    <row r="490" spans="3:11" hidden="1" outlineLevel="2" x14ac:dyDescent="0.3">
      <c r="C490" s="231">
        <v>56</v>
      </c>
      <c r="D490" s="684"/>
      <c r="E490" s="685"/>
      <c r="F490" s="686"/>
      <c r="G490" s="683"/>
      <c r="H490" s="683"/>
      <c r="I490" s="683"/>
      <c r="J490" s="145"/>
      <c r="K490" s="17" t="str">
        <f t="shared" si="9"/>
        <v/>
      </c>
    </row>
    <row r="491" spans="3:11" hidden="1" outlineLevel="2" x14ac:dyDescent="0.3">
      <c r="C491" s="231">
        <v>57</v>
      </c>
      <c r="D491" s="684"/>
      <c r="E491" s="685"/>
      <c r="F491" s="686"/>
      <c r="G491" s="683"/>
      <c r="H491" s="683"/>
      <c r="I491" s="683"/>
      <c r="J491" s="145"/>
      <c r="K491" s="17" t="str">
        <f t="shared" si="9"/>
        <v/>
      </c>
    </row>
    <row r="492" spans="3:11" hidden="1" outlineLevel="2" x14ac:dyDescent="0.3">
      <c r="C492" s="231">
        <v>58</v>
      </c>
      <c r="D492" s="684"/>
      <c r="E492" s="685"/>
      <c r="F492" s="686"/>
      <c r="G492" s="683"/>
      <c r="H492" s="683"/>
      <c r="I492" s="683"/>
      <c r="J492" s="145"/>
      <c r="K492" s="17" t="str">
        <f t="shared" si="9"/>
        <v/>
      </c>
    </row>
    <row r="493" spans="3:11" hidden="1" outlineLevel="2" x14ac:dyDescent="0.3">
      <c r="C493" s="231">
        <v>59</v>
      </c>
      <c r="D493" s="684"/>
      <c r="E493" s="685"/>
      <c r="F493" s="686"/>
      <c r="G493" s="683"/>
      <c r="H493" s="683"/>
      <c r="I493" s="683"/>
      <c r="J493" s="145"/>
      <c r="K493" s="17" t="str">
        <f t="shared" si="9"/>
        <v/>
      </c>
    </row>
    <row r="494" spans="3:11" hidden="1" outlineLevel="2" x14ac:dyDescent="0.3">
      <c r="C494" s="231">
        <v>60</v>
      </c>
      <c r="D494" s="684"/>
      <c r="E494" s="685"/>
      <c r="F494" s="686"/>
      <c r="G494" s="683"/>
      <c r="H494" s="683"/>
      <c r="I494" s="683"/>
      <c r="J494" s="145"/>
      <c r="K494" s="17" t="str">
        <f t="shared" si="9"/>
        <v/>
      </c>
    </row>
    <row r="495" spans="3:11" hidden="1" outlineLevel="2" x14ac:dyDescent="0.3">
      <c r="C495" s="231">
        <v>61</v>
      </c>
      <c r="D495" s="684"/>
      <c r="E495" s="685"/>
      <c r="F495" s="686"/>
      <c r="G495" s="683"/>
      <c r="H495" s="683"/>
      <c r="I495" s="683"/>
      <c r="J495" s="145"/>
      <c r="K495" s="17" t="str">
        <f t="shared" si="9"/>
        <v/>
      </c>
    </row>
    <row r="496" spans="3:11" hidden="1" outlineLevel="2" x14ac:dyDescent="0.3">
      <c r="C496" s="231">
        <v>62</v>
      </c>
      <c r="D496" s="684"/>
      <c r="E496" s="685"/>
      <c r="F496" s="686"/>
      <c r="G496" s="683"/>
      <c r="H496" s="683"/>
      <c r="I496" s="683"/>
      <c r="J496" s="145"/>
      <c r="K496" s="17" t="str">
        <f t="shared" si="9"/>
        <v/>
      </c>
    </row>
    <row r="497" spans="3:11" hidden="1" outlineLevel="2" x14ac:dyDescent="0.3">
      <c r="C497" s="231">
        <v>63</v>
      </c>
      <c r="D497" s="684"/>
      <c r="E497" s="685"/>
      <c r="F497" s="686"/>
      <c r="G497" s="683"/>
      <c r="H497" s="683"/>
      <c r="I497" s="683"/>
      <c r="J497" s="145"/>
      <c r="K497" s="17" t="str">
        <f t="shared" si="9"/>
        <v/>
      </c>
    </row>
    <row r="498" spans="3:11" hidden="1" outlineLevel="2" x14ac:dyDescent="0.3">
      <c r="C498" s="231">
        <v>64</v>
      </c>
      <c r="D498" s="684"/>
      <c r="E498" s="685"/>
      <c r="F498" s="686"/>
      <c r="G498" s="683"/>
      <c r="H498" s="683"/>
      <c r="I498" s="683"/>
      <c r="J498" s="145"/>
      <c r="K498" s="17" t="str">
        <f t="shared" si="9"/>
        <v/>
      </c>
    </row>
    <row r="499" spans="3:11" hidden="1" outlineLevel="2" x14ac:dyDescent="0.3">
      <c r="C499" s="231">
        <v>65</v>
      </c>
      <c r="D499" s="684"/>
      <c r="E499" s="685"/>
      <c r="F499" s="686"/>
      <c r="G499" s="683"/>
      <c r="H499" s="683"/>
      <c r="I499" s="683"/>
      <c r="J499" s="145"/>
      <c r="K499" s="17" t="str">
        <f t="shared" si="9"/>
        <v/>
      </c>
    </row>
    <row r="500" spans="3:11" hidden="1" outlineLevel="2" x14ac:dyDescent="0.3">
      <c r="C500" s="231">
        <v>66</v>
      </c>
      <c r="D500" s="684"/>
      <c r="E500" s="685"/>
      <c r="F500" s="686"/>
      <c r="G500" s="683"/>
      <c r="H500" s="683"/>
      <c r="I500" s="683"/>
      <c r="J500" s="145"/>
      <c r="K500" s="17" t="str">
        <f t="shared" si="9"/>
        <v/>
      </c>
    </row>
    <row r="501" spans="3:11" hidden="1" outlineLevel="2" x14ac:dyDescent="0.3">
      <c r="C501" s="231">
        <v>67</v>
      </c>
      <c r="D501" s="684"/>
      <c r="E501" s="685"/>
      <c r="F501" s="686"/>
      <c r="G501" s="683"/>
      <c r="H501" s="683"/>
      <c r="I501" s="683"/>
      <c r="J501" s="145"/>
      <c r="K501" s="17" t="str">
        <f t="shared" si="9"/>
        <v/>
      </c>
    </row>
    <row r="502" spans="3:11" hidden="1" outlineLevel="2" x14ac:dyDescent="0.3">
      <c r="C502" s="231">
        <v>68</v>
      </c>
      <c r="D502" s="684"/>
      <c r="E502" s="685"/>
      <c r="F502" s="686"/>
      <c r="G502" s="683"/>
      <c r="H502" s="683"/>
      <c r="I502" s="683"/>
      <c r="J502" s="145"/>
      <c r="K502" s="17" t="str">
        <f t="shared" si="9"/>
        <v/>
      </c>
    </row>
    <row r="503" spans="3:11" hidden="1" outlineLevel="2" x14ac:dyDescent="0.3">
      <c r="C503" s="231">
        <v>69</v>
      </c>
      <c r="D503" s="684"/>
      <c r="E503" s="685"/>
      <c r="F503" s="686"/>
      <c r="G503" s="683"/>
      <c r="H503" s="683"/>
      <c r="I503" s="683"/>
      <c r="J503" s="145"/>
      <c r="K503" s="17" t="str">
        <f t="shared" si="9"/>
        <v/>
      </c>
    </row>
    <row r="504" spans="3:11" hidden="1" outlineLevel="2" x14ac:dyDescent="0.3">
      <c r="C504" s="231">
        <v>70</v>
      </c>
      <c r="D504" s="684"/>
      <c r="E504" s="685"/>
      <c r="F504" s="686"/>
      <c r="G504" s="683"/>
      <c r="H504" s="683"/>
      <c r="I504" s="683"/>
      <c r="J504" s="145"/>
      <c r="K504" s="17" t="str">
        <f t="shared" si="9"/>
        <v/>
      </c>
    </row>
    <row r="505" spans="3:11" hidden="1" outlineLevel="2" x14ac:dyDescent="0.3">
      <c r="C505" s="231">
        <v>71</v>
      </c>
      <c r="D505" s="684"/>
      <c r="E505" s="685"/>
      <c r="F505" s="686"/>
      <c r="G505" s="683"/>
      <c r="H505" s="683"/>
      <c r="I505" s="683"/>
      <c r="J505" s="145"/>
      <c r="K505" s="17" t="str">
        <f t="shared" si="9"/>
        <v/>
      </c>
    </row>
    <row r="506" spans="3:11" hidden="1" outlineLevel="2" x14ac:dyDescent="0.3">
      <c r="C506" s="231">
        <v>72</v>
      </c>
      <c r="D506" s="684"/>
      <c r="E506" s="685"/>
      <c r="F506" s="686"/>
      <c r="G506" s="683"/>
      <c r="H506" s="683"/>
      <c r="I506" s="683"/>
      <c r="J506" s="145"/>
      <c r="K506" s="17" t="str">
        <f t="shared" si="9"/>
        <v/>
      </c>
    </row>
    <row r="507" spans="3:11" hidden="1" outlineLevel="2" x14ac:dyDescent="0.3">
      <c r="C507" s="231">
        <v>73</v>
      </c>
      <c r="D507" s="684"/>
      <c r="E507" s="685"/>
      <c r="F507" s="686"/>
      <c r="G507" s="683"/>
      <c r="H507" s="683"/>
      <c r="I507" s="683"/>
      <c r="J507" s="145"/>
      <c r="K507" s="17" t="str">
        <f t="shared" si="9"/>
        <v/>
      </c>
    </row>
    <row r="508" spans="3:11" hidden="1" outlineLevel="2" x14ac:dyDescent="0.3">
      <c r="C508" s="231">
        <v>74</v>
      </c>
      <c r="D508" s="684"/>
      <c r="E508" s="685"/>
      <c r="F508" s="686"/>
      <c r="G508" s="683"/>
      <c r="H508" s="683"/>
      <c r="I508" s="683"/>
      <c r="J508" s="145"/>
      <c r="K508" s="17" t="str">
        <f t="shared" si="9"/>
        <v/>
      </c>
    </row>
    <row r="509" spans="3:11" hidden="1" outlineLevel="2" x14ac:dyDescent="0.3">
      <c r="C509" s="231">
        <v>75</v>
      </c>
      <c r="D509" s="684"/>
      <c r="E509" s="685"/>
      <c r="F509" s="686"/>
      <c r="G509" s="683"/>
      <c r="H509" s="683"/>
      <c r="I509" s="683"/>
      <c r="J509" s="145"/>
      <c r="K509" s="17" t="str">
        <f t="shared" si="9"/>
        <v/>
      </c>
    </row>
    <row r="510" spans="3:11" hidden="1" outlineLevel="2" x14ac:dyDescent="0.3">
      <c r="C510" s="231">
        <v>76</v>
      </c>
      <c r="D510" s="684"/>
      <c r="E510" s="685"/>
      <c r="F510" s="686"/>
      <c r="G510" s="683"/>
      <c r="H510" s="683"/>
      <c r="I510" s="683"/>
      <c r="J510" s="145"/>
      <c r="K510" s="17" t="str">
        <f t="shared" si="9"/>
        <v/>
      </c>
    </row>
    <row r="511" spans="3:11" hidden="1" outlineLevel="2" x14ac:dyDescent="0.3">
      <c r="C511" s="231">
        <v>77</v>
      </c>
      <c r="D511" s="684"/>
      <c r="E511" s="685"/>
      <c r="F511" s="686"/>
      <c r="G511" s="683"/>
      <c r="H511" s="683"/>
      <c r="I511" s="683"/>
      <c r="J511" s="145"/>
      <c r="K511" s="17" t="str">
        <f t="shared" si="9"/>
        <v/>
      </c>
    </row>
    <row r="512" spans="3:11" hidden="1" outlineLevel="2" x14ac:dyDescent="0.3">
      <c r="C512" s="231">
        <v>78</v>
      </c>
      <c r="D512" s="684"/>
      <c r="E512" s="685"/>
      <c r="F512" s="686"/>
      <c r="G512" s="683"/>
      <c r="H512" s="683"/>
      <c r="I512" s="683"/>
      <c r="J512" s="145"/>
      <c r="K512" s="17" t="str">
        <f t="shared" si="9"/>
        <v/>
      </c>
    </row>
    <row r="513" spans="3:11" hidden="1" outlineLevel="2" x14ac:dyDescent="0.3">
      <c r="C513" s="231">
        <v>79</v>
      </c>
      <c r="D513" s="684"/>
      <c r="E513" s="685"/>
      <c r="F513" s="686"/>
      <c r="G513" s="683"/>
      <c r="H513" s="683"/>
      <c r="I513" s="683"/>
      <c r="J513" s="145"/>
      <c r="K513" s="17" t="str">
        <f t="shared" si="9"/>
        <v/>
      </c>
    </row>
    <row r="514" spans="3:11" hidden="1" outlineLevel="2" x14ac:dyDescent="0.3">
      <c r="C514" s="231">
        <v>80</v>
      </c>
      <c r="D514" s="684"/>
      <c r="E514" s="685"/>
      <c r="F514" s="686"/>
      <c r="G514" s="683"/>
      <c r="H514" s="683"/>
      <c r="I514" s="683"/>
      <c r="J514" s="145"/>
      <c r="K514" s="17" t="str">
        <f t="shared" si="9"/>
        <v/>
      </c>
    </row>
    <row r="515" spans="3:11" hidden="1" outlineLevel="2" x14ac:dyDescent="0.3">
      <c r="C515" s="231">
        <v>81</v>
      </c>
      <c r="D515" s="684"/>
      <c r="E515" s="685"/>
      <c r="F515" s="686"/>
      <c r="G515" s="683"/>
      <c r="H515" s="683"/>
      <c r="I515" s="683"/>
      <c r="J515" s="145"/>
      <c r="K515" s="17" t="str">
        <f t="shared" si="9"/>
        <v/>
      </c>
    </row>
    <row r="516" spans="3:11" hidden="1" outlineLevel="2" x14ac:dyDescent="0.3">
      <c r="C516" s="231">
        <v>82</v>
      </c>
      <c r="D516" s="684"/>
      <c r="E516" s="685"/>
      <c r="F516" s="686"/>
      <c r="G516" s="683"/>
      <c r="H516" s="683"/>
      <c r="I516" s="683"/>
      <c r="J516" s="145"/>
      <c r="K516" s="17" t="str">
        <f t="shared" si="9"/>
        <v/>
      </c>
    </row>
    <row r="517" spans="3:11" hidden="1" outlineLevel="2" x14ac:dyDescent="0.3">
      <c r="C517" s="231">
        <v>83</v>
      </c>
      <c r="D517" s="684"/>
      <c r="E517" s="685"/>
      <c r="F517" s="686"/>
      <c r="G517" s="683"/>
      <c r="H517" s="683"/>
      <c r="I517" s="683"/>
      <c r="J517" s="145"/>
      <c r="K517" s="17" t="str">
        <f t="shared" si="9"/>
        <v/>
      </c>
    </row>
    <row r="518" spans="3:11" hidden="1" outlineLevel="2" x14ac:dyDescent="0.3">
      <c r="C518" s="231">
        <v>84</v>
      </c>
      <c r="D518" s="684"/>
      <c r="E518" s="685"/>
      <c r="F518" s="686"/>
      <c r="G518" s="683"/>
      <c r="H518" s="683"/>
      <c r="I518" s="683"/>
      <c r="J518" s="145"/>
      <c r="K518" s="17" t="str">
        <f t="shared" si="9"/>
        <v/>
      </c>
    </row>
    <row r="519" spans="3:11" hidden="1" outlineLevel="2" x14ac:dyDescent="0.3">
      <c r="C519" s="231">
        <v>85</v>
      </c>
      <c r="D519" s="684"/>
      <c r="E519" s="685"/>
      <c r="F519" s="686"/>
      <c r="G519" s="683"/>
      <c r="H519" s="683"/>
      <c r="I519" s="683"/>
      <c r="J519" s="145"/>
      <c r="K519" s="17" t="str">
        <f t="shared" si="9"/>
        <v/>
      </c>
    </row>
    <row r="520" spans="3:11" hidden="1" outlineLevel="2" x14ac:dyDescent="0.3">
      <c r="C520" s="231">
        <v>86</v>
      </c>
      <c r="D520" s="684"/>
      <c r="E520" s="685"/>
      <c r="F520" s="686"/>
      <c r="G520" s="683"/>
      <c r="H520" s="683"/>
      <c r="I520" s="683"/>
      <c r="J520" s="145"/>
      <c r="K520" s="17" t="str">
        <f t="shared" si="9"/>
        <v/>
      </c>
    </row>
    <row r="521" spans="3:11" hidden="1" outlineLevel="2" x14ac:dyDescent="0.3">
      <c r="C521" s="231">
        <v>87</v>
      </c>
      <c r="D521" s="684"/>
      <c r="E521" s="685"/>
      <c r="F521" s="686"/>
      <c r="G521" s="683"/>
      <c r="H521" s="683"/>
      <c r="I521" s="683"/>
      <c r="J521" s="145"/>
      <c r="K521" s="17" t="str">
        <f t="shared" si="9"/>
        <v/>
      </c>
    </row>
    <row r="522" spans="3:11" hidden="1" outlineLevel="2" x14ac:dyDescent="0.3">
      <c r="C522" s="231">
        <v>88</v>
      </c>
      <c r="D522" s="684"/>
      <c r="E522" s="685"/>
      <c r="F522" s="686"/>
      <c r="G522" s="683"/>
      <c r="H522" s="683"/>
      <c r="I522" s="683"/>
      <c r="J522" s="145"/>
      <c r="K522" s="17" t="str">
        <f t="shared" si="9"/>
        <v/>
      </c>
    </row>
    <row r="523" spans="3:11" hidden="1" outlineLevel="2" x14ac:dyDescent="0.3">
      <c r="C523" s="231">
        <v>89</v>
      </c>
      <c r="D523" s="684"/>
      <c r="E523" s="685"/>
      <c r="F523" s="686"/>
      <c r="G523" s="683"/>
      <c r="H523" s="683"/>
      <c r="I523" s="683"/>
      <c r="J523" s="145"/>
      <c r="K523" s="17" t="str">
        <f t="shared" si="9"/>
        <v/>
      </c>
    </row>
    <row r="524" spans="3:11" hidden="1" outlineLevel="2" x14ac:dyDescent="0.3">
      <c r="C524" s="231">
        <v>90</v>
      </c>
      <c r="D524" s="684"/>
      <c r="E524" s="685"/>
      <c r="F524" s="686"/>
      <c r="G524" s="683"/>
      <c r="H524" s="683"/>
      <c r="I524" s="683"/>
      <c r="J524" s="145"/>
      <c r="K524" s="17" t="str">
        <f t="shared" si="9"/>
        <v/>
      </c>
    </row>
    <row r="525" spans="3:11" hidden="1" outlineLevel="2" x14ac:dyDescent="0.3">
      <c r="C525" s="231">
        <v>91</v>
      </c>
      <c r="D525" s="684"/>
      <c r="E525" s="685"/>
      <c r="F525" s="686"/>
      <c r="G525" s="683"/>
      <c r="H525" s="683"/>
      <c r="I525" s="683"/>
      <c r="J525" s="145"/>
      <c r="K525" s="17" t="str">
        <f t="shared" si="9"/>
        <v/>
      </c>
    </row>
    <row r="526" spans="3:11" hidden="1" outlineLevel="2" x14ac:dyDescent="0.3">
      <c r="C526" s="231">
        <v>92</v>
      </c>
      <c r="D526" s="684"/>
      <c r="E526" s="685"/>
      <c r="F526" s="686"/>
      <c r="G526" s="683"/>
      <c r="H526" s="683"/>
      <c r="I526" s="683"/>
      <c r="J526" s="145"/>
      <c r="K526" s="17" t="str">
        <f t="shared" si="9"/>
        <v/>
      </c>
    </row>
    <row r="527" spans="3:11" hidden="1" outlineLevel="2" x14ac:dyDescent="0.3">
      <c r="C527" s="231">
        <v>93</v>
      </c>
      <c r="D527" s="684"/>
      <c r="E527" s="685"/>
      <c r="F527" s="686"/>
      <c r="G527" s="683"/>
      <c r="H527" s="683"/>
      <c r="I527" s="683"/>
      <c r="J527" s="145"/>
      <c r="K527" s="17" t="str">
        <f t="shared" si="9"/>
        <v/>
      </c>
    </row>
    <row r="528" spans="3:11" hidden="1" outlineLevel="2" x14ac:dyDescent="0.3">
      <c r="C528" s="231">
        <v>94</v>
      </c>
      <c r="D528" s="684"/>
      <c r="E528" s="685"/>
      <c r="F528" s="686"/>
      <c r="G528" s="683"/>
      <c r="H528" s="683"/>
      <c r="I528" s="683"/>
      <c r="J528" s="145"/>
      <c r="K528" s="17" t="str">
        <f t="shared" si="9"/>
        <v/>
      </c>
    </row>
    <row r="529" spans="1:12" hidden="1" outlineLevel="2" x14ac:dyDescent="0.3">
      <c r="C529" s="231">
        <v>95</v>
      </c>
      <c r="D529" s="684"/>
      <c r="E529" s="685"/>
      <c r="F529" s="686"/>
      <c r="G529" s="683"/>
      <c r="H529" s="683"/>
      <c r="I529" s="683"/>
      <c r="J529" s="145"/>
      <c r="K529" s="17" t="str">
        <f t="shared" si="9"/>
        <v/>
      </c>
    </row>
    <row r="530" spans="1:12" hidden="1" outlineLevel="2" x14ac:dyDescent="0.3">
      <c r="C530" s="231">
        <v>96</v>
      </c>
      <c r="D530" s="684"/>
      <c r="E530" s="685"/>
      <c r="F530" s="686"/>
      <c r="G530" s="683"/>
      <c r="H530" s="683"/>
      <c r="I530" s="683"/>
      <c r="J530" s="145"/>
      <c r="K530" s="17" t="str">
        <f t="shared" si="9"/>
        <v/>
      </c>
    </row>
    <row r="531" spans="1:12" hidden="1" outlineLevel="2" x14ac:dyDescent="0.3">
      <c r="C531" s="231">
        <v>97</v>
      </c>
      <c r="D531" s="684"/>
      <c r="E531" s="685"/>
      <c r="F531" s="686"/>
      <c r="G531" s="683"/>
      <c r="H531" s="683"/>
      <c r="I531" s="683"/>
      <c r="J531" s="145"/>
      <c r="K531" s="17" t="str">
        <f t="shared" si="9"/>
        <v/>
      </c>
    </row>
    <row r="532" spans="1:12" hidden="1" outlineLevel="2" x14ac:dyDescent="0.3">
      <c r="C532" s="231">
        <v>98</v>
      </c>
      <c r="D532" s="684"/>
      <c r="E532" s="685"/>
      <c r="F532" s="686"/>
      <c r="G532" s="683"/>
      <c r="H532" s="683"/>
      <c r="I532" s="683"/>
      <c r="J532" s="145"/>
      <c r="K532" s="17" t="str">
        <f t="shared" si="9"/>
        <v/>
      </c>
    </row>
    <row r="533" spans="1:12" hidden="1" outlineLevel="2" x14ac:dyDescent="0.3">
      <c r="C533" s="231">
        <v>99</v>
      </c>
      <c r="D533" s="684"/>
      <c r="E533" s="685"/>
      <c r="F533" s="686"/>
      <c r="G533" s="721"/>
      <c r="H533" s="722"/>
      <c r="I533" s="741"/>
      <c r="J533" s="145"/>
      <c r="K533" s="17" t="str">
        <f t="shared" si="9"/>
        <v/>
      </c>
    </row>
    <row r="534" spans="1:12" hidden="1" outlineLevel="2" x14ac:dyDescent="0.3">
      <c r="C534" s="231">
        <v>100</v>
      </c>
      <c r="D534" s="684"/>
      <c r="E534" s="685"/>
      <c r="F534" s="686"/>
      <c r="G534" s="721"/>
      <c r="H534" s="722"/>
      <c r="I534" s="741"/>
      <c r="J534" s="145"/>
      <c r="K534" s="17" t="str">
        <f t="shared" si="9"/>
        <v/>
      </c>
    </row>
    <row r="535" spans="1:12" collapsed="1" x14ac:dyDescent="0.3">
      <c r="C535" s="823" t="str">
        <f>template_label_total_annual_mass_flow_of_relevant_materials_used_mass</f>
        <v>Total annual mass-flow of relevant materials used (mass in kg)</v>
      </c>
      <c r="D535" s="824"/>
      <c r="E535" s="824"/>
      <c r="F535" s="824"/>
      <c r="G535" s="836" t="str">
        <f>IF(AND(G435="",G436="",J435="",J436="",G437="",J437=""),"-",(SUMIF($J$435:$J$534,"kilograms (kg)",$G$435:$G$534))+((SUMIF($J$435:$J$534,"metric tonnes (t)",$G$435:$G$534))*1000))</f>
        <v>-</v>
      </c>
      <c r="H535" s="836"/>
      <c r="I535" s="836"/>
      <c r="J535" s="143" t="str">
        <f>template_label_kilograms</f>
        <v>kilograms (kg)</v>
      </c>
    </row>
    <row r="536" spans="1:12" ht="15" thickBot="1" x14ac:dyDescent="0.35">
      <c r="C536" s="821" t="str">
        <f>template_label_total_annual_mass_flow_of_relevant_materials_used_volume</f>
        <v>Total annual mass-flow of relevant materials used (volume in m³)</v>
      </c>
      <c r="D536" s="822"/>
      <c r="E536" s="822"/>
      <c r="F536" s="822"/>
      <c r="G536" s="720" t="str">
        <f>IF(AND(G435="",G436="",J435="",J436="",G437="",J437=""),"-",SUMIF(J435:J534, "cubic meters (m3)", G435:G534))</f>
        <v>-</v>
      </c>
      <c r="H536" s="720"/>
      <c r="I536" s="720"/>
      <c r="J536" s="141" t="str">
        <f>template_label_cubic_meters</f>
        <v>cubic meters (m³)</v>
      </c>
      <c r="K536" s="17"/>
    </row>
    <row r="537" spans="1:12" ht="15" thickBot="1" x14ac:dyDescent="0.35">
      <c r="D537" s="12"/>
      <c r="E537" s="12"/>
      <c r="F537" s="12"/>
      <c r="G537" s="12"/>
      <c r="H537" s="12"/>
      <c r="I537" s="12"/>
      <c r="J537" s="12"/>
    </row>
    <row r="538" spans="1:12" x14ac:dyDescent="0.3">
      <c r="C538" s="826" t="str">
        <f>template_label_c4_climate_risks&amp;" "&amp;template_label_from&amp;" "&amp;template_starting_date_display&amp;" "&amp;template_label_to&amp;" "&amp;template_ending_date_display&amp;" "&amp;template_label_if_applicable</f>
        <v>C4 – Climate risks from - to - [If applicable]</v>
      </c>
      <c r="D538" s="827"/>
      <c r="E538" s="827"/>
      <c r="F538" s="827"/>
      <c r="G538" s="827"/>
      <c r="H538" s="827"/>
      <c r="I538" s="827"/>
      <c r="J538" s="827"/>
      <c r="K538" s="828"/>
    </row>
    <row r="539" spans="1:12" ht="39.6" customHeight="1" x14ac:dyDescent="0.3">
      <c r="C539" s="656" t="str">
        <f>template_label_has_the_undertaking_identified_climate_related_hazards_and_climate_related_transition_events</f>
        <v>Has the undertaking identified climate-related hazards and climate-related transition events creating gross climate-related risks for the undertaking?</v>
      </c>
      <c r="D539" s="832"/>
      <c r="E539" s="833" t="b">
        <v>0</v>
      </c>
      <c r="F539" s="834"/>
      <c r="G539" s="834"/>
      <c r="H539" s="834"/>
      <c r="I539" s="834"/>
      <c r="J539" s="834"/>
      <c r="K539" s="835"/>
    </row>
    <row r="540" spans="1:12" x14ac:dyDescent="0.3">
      <c r="A540" s="441" t="s">
        <v>3750</v>
      </c>
      <c r="B540" s="441" t="s">
        <v>5654</v>
      </c>
      <c r="C540" s="630" t="str">
        <f>template_label_description_of_climate_related_hazards_and_climate_related_transition_events</f>
        <v>Description of climate-related hazards and climate-related transition events</v>
      </c>
      <c r="D540" s="630"/>
      <c r="E540" s="674"/>
      <c r="F540" s="675"/>
      <c r="G540" s="675"/>
      <c r="H540" s="675"/>
      <c r="I540" s="675"/>
      <c r="J540" s="675"/>
      <c r="K540" s="676"/>
      <c r="L540" s="16" t="str">
        <f>IF(AND($E$539=TRUE,E540&lt;&gt;""),
    template_label_ok,
    IF(AND($E$539=TRUE,G540=""),
        template_label_missing_value,
        ""
    )
)</f>
        <v/>
      </c>
    </row>
    <row r="541" spans="1:12" x14ac:dyDescent="0.3">
      <c r="A541" s="441" t="s">
        <v>3751</v>
      </c>
      <c r="B541" s="441" t="s">
        <v>5654</v>
      </c>
      <c r="C541" s="630" t="str">
        <f>template_label_disclosure_of_how_it_has_assessed_the_exposure_and_sensitivity_of_its_assets</f>
        <v>Disclosure of how it has assessed the exposure and sensitivity of its assets activities and value chain to these hazards and transition events</v>
      </c>
      <c r="D541" s="630"/>
      <c r="E541" s="674"/>
      <c r="F541" s="675"/>
      <c r="G541" s="675"/>
      <c r="H541" s="675"/>
      <c r="I541" s="675"/>
      <c r="J541" s="675"/>
      <c r="K541" s="676"/>
      <c r="L541" s="16" t="str">
        <f>IF(AND($E$539=TRUE,E541&lt;&gt;""),
    template_label_ok,
    IF(AND($E$539=TRUE,G541=""),
        template_label_missing_value,
        ""
    )
)</f>
        <v/>
      </c>
    </row>
    <row r="542" spans="1:12" x14ac:dyDescent="0.3">
      <c r="A542" s="441" t="s">
        <v>3752</v>
      </c>
      <c r="B542" s="441" t="s">
        <v>5654</v>
      </c>
      <c r="C542" s="630" t="str">
        <f>template_label_time_horizons_of_any_climate_related_hazards_and_transition_events_identified</f>
        <v>Time horizons of any climate-related hazards and transition events identified</v>
      </c>
      <c r="D542" s="630"/>
      <c r="E542" s="674"/>
      <c r="F542" s="675"/>
      <c r="G542" s="675"/>
      <c r="H542" s="675"/>
      <c r="I542" s="675"/>
      <c r="J542" s="675"/>
      <c r="K542" s="676"/>
      <c r="L542" s="16" t="str">
        <f>IF(AND($E$539=TRUE,E542&lt;&gt;""),
    template_label_ok,
    IF(AND($E$539=TRUE,G542=""),
        template_label_missing_value,
        ""
    )
)</f>
        <v/>
      </c>
    </row>
    <row r="543" spans="1:12" ht="27" customHeight="1" x14ac:dyDescent="0.3">
      <c r="A543" s="441" t="s">
        <v>3753</v>
      </c>
      <c r="B543" s="441" t="s">
        <v>5654</v>
      </c>
      <c r="C543" s="630" t="str">
        <f>template_label_disclosure_of_whether_it_has_undertaken_climate_change_adaptation_actions</f>
        <v>Disclosure of whether it has undertaken climate change adaptation actions for any climate-related hazards and transition events</v>
      </c>
      <c r="D543" s="630"/>
      <c r="E543" s="829"/>
      <c r="F543" s="830"/>
      <c r="G543" s="830"/>
      <c r="H543" s="830"/>
      <c r="I543" s="830"/>
      <c r="J543" s="830"/>
      <c r="K543" s="831"/>
      <c r="L543" s="16" t="str">
        <f>IF(AND($E$539=TRUE,E543&lt;&gt;""),
    template_label_ok,
    IF(AND($E$539=TRUE,G543=""),
        template_label_missing_value,
        ""
    )
)</f>
        <v/>
      </c>
    </row>
    <row r="544" spans="1:12" ht="29.4" customHeight="1" thickBot="1" x14ac:dyDescent="0.35">
      <c r="A544" s="441">
        <v>58</v>
      </c>
      <c r="B544" s="441" t="s">
        <v>5654</v>
      </c>
      <c r="C544" s="570"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70"/>
      <c r="E544" s="677"/>
      <c r="F544" s="678"/>
      <c r="G544" s="678"/>
      <c r="H544" s="678"/>
      <c r="I544" s="678"/>
      <c r="J544" s="678"/>
      <c r="K544" s="679"/>
      <c r="L544" s="16" t="str">
        <f>IF(AND($E$539=TRUE,E544&lt;&gt;""),
    template_label_ok,
    ""
)</f>
        <v/>
      </c>
    </row>
    <row r="545" spans="3:13" ht="15" thickBot="1" x14ac:dyDescent="0.35"/>
    <row r="546" spans="3:13" x14ac:dyDescent="0.3">
      <c r="C546" s="558"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559"/>
      <c r="E546" s="559"/>
      <c r="F546" s="559"/>
      <c r="G546" s="559"/>
      <c r="H546" s="559"/>
      <c r="I546" s="559"/>
      <c r="J546" s="559"/>
      <c r="K546" s="559"/>
      <c r="L546" s="560"/>
    </row>
    <row r="547" spans="3:13" x14ac:dyDescent="0.3">
      <c r="C547" s="534">
        <v>10</v>
      </c>
      <c r="D547" s="535"/>
      <c r="E547" s="535"/>
      <c r="F547" s="535"/>
      <c r="G547" s="535"/>
      <c r="H547" s="535"/>
      <c r="I547" s="535"/>
      <c r="J547" s="535"/>
      <c r="K547" s="535"/>
      <c r="L547" s="536"/>
      <c r="M547" s="8"/>
    </row>
    <row r="548" spans="3:13" ht="15" thickBot="1" x14ac:dyDescent="0.35">
      <c r="C548" s="552"/>
      <c r="D548" s="553"/>
      <c r="E548" s="553"/>
      <c r="F548" s="553"/>
      <c r="G548" s="553"/>
      <c r="H548" s="553"/>
      <c r="I548" s="553"/>
      <c r="J548" s="553"/>
      <c r="K548" s="553"/>
      <c r="L548" s="553"/>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952" t="str">
        <f>template_label_employee_counting_methodology_for_the_disclosures_below_headcount_full_time_equivalent</f>
        <v>Employee counting methodology for the disclosures below (Headcount or Full time Equivalent linked from B1</v>
      </c>
      <c r="D2" s="953"/>
      <c r="E2" s="954"/>
      <c r="F2" s="955" t="str">
        <f>IF('General Information'!$E$330="","-",'General Information'!$E$330)</f>
        <v>-</v>
      </c>
      <c r="G2" s="955"/>
      <c r="H2" s="956"/>
    </row>
    <row r="3" spans="1:8" ht="15" thickBot="1" x14ac:dyDescent="0.35">
      <c r="C3" s="952" t="str">
        <f>template_label_employee_counting_methodology_for_the_disclosures_below_period</f>
        <v>Employee counting methodology for the disclosures below (At the end of the reporting period or as an average across the reporting period linked from B1)</v>
      </c>
      <c r="D3" s="953"/>
      <c r="E3" s="954"/>
      <c r="F3" s="957" t="str">
        <f>IF('General Information'!$E$329="","-",'General Information'!$E$329)</f>
        <v>-</v>
      </c>
      <c r="G3" s="958"/>
      <c r="H3" s="959"/>
    </row>
    <row r="5" spans="1:8" ht="15" thickBot="1" x14ac:dyDescent="0.35"/>
    <row r="6" spans="1:8" x14ac:dyDescent="0.3">
      <c r="C6" s="604" t="str">
        <f>template_label_b8_workforce_general_characteristics_type_of_contract&amp;" "&amp;template_label_always_to_be_reported</f>
        <v>B8 – Workforce – General characteristics - Type of contract [Always to be reported]</v>
      </c>
      <c r="D6" s="605"/>
      <c r="E6" s="605"/>
      <c r="F6" s="605"/>
      <c r="G6" s="606"/>
      <c r="H6"/>
    </row>
    <row r="7" spans="1:8" x14ac:dyDescent="0.3">
      <c r="C7" s="534" t="s">
        <v>3754</v>
      </c>
      <c r="D7" s="535"/>
      <c r="E7" s="535"/>
      <c r="F7" s="535"/>
      <c r="G7" s="536"/>
    </row>
    <row r="8" spans="1:8" x14ac:dyDescent="0.3">
      <c r="C8" s="649" t="s">
        <v>5655</v>
      </c>
      <c r="D8" s="970"/>
      <c r="E8" s="970"/>
      <c r="F8" s="970"/>
      <c r="G8" s="971"/>
    </row>
    <row r="9" spans="1:8" x14ac:dyDescent="0.3">
      <c r="C9" s="148" t="str">
        <f>template_label_type_of_contract</f>
        <v>Type of contract</v>
      </c>
      <c r="D9" s="972" t="str">
        <f>template_label_number_of_employees</f>
        <v>Number of employees</v>
      </c>
      <c r="E9" s="973"/>
      <c r="F9" s="973"/>
      <c r="G9" s="974"/>
      <c r="H9" s="149"/>
    </row>
    <row r="10" spans="1:8" x14ac:dyDescent="0.3">
      <c r="C10" s="150" t="str">
        <f>template_label_permanent_contract</f>
        <v>Permanent contract</v>
      </c>
      <c r="D10" s="963"/>
      <c r="E10" s="964"/>
      <c r="F10" s="964"/>
      <c r="G10" s="965"/>
      <c r="H10" s="15" t="str">
        <f>IF(
    AND(
        OR(
            'General Information'!E122="Option A (Basic Module only)",
            'General Information'!E122="Option B (Basic Module and Comprehensive Module)"
        ),
        D10=""
    ),
    template_label_missing_value,
    IF('General Information'!E122="",
        "",
        template_label_ok
    )
)</f>
        <v/>
      </c>
    </row>
    <row r="11" spans="1:8" x14ac:dyDescent="0.3">
      <c r="C11" s="150" t="str">
        <f>template_label_temporary_contract</f>
        <v>Temporary contract</v>
      </c>
      <c r="D11" s="975" t="str">
        <f>IFERROR(IF(D10="", "-", $D$12 - $D$10), "-")</f>
        <v>-</v>
      </c>
      <c r="E11" s="976"/>
      <c r="F11" s="976"/>
      <c r="G11" s="977"/>
      <c r="H11" s="15"/>
    </row>
    <row r="12" spans="1:8" ht="15" thickBot="1" x14ac:dyDescent="0.35">
      <c r="C12" s="151" t="str">
        <f>template_label_total_employees</f>
        <v>Total employees (linked to B1)</v>
      </c>
      <c r="D12" s="978" t="str">
        <f>IF('General Information'!$E$328="", "-", VALUE(SUBSTITUTE('General Information'!$E$328, "-", "0")))</f>
        <v>-</v>
      </c>
      <c r="E12" s="978"/>
      <c r="F12" s="978"/>
      <c r="G12" s="979"/>
      <c r="H12" s="17"/>
    </row>
    <row r="13" spans="1:8" ht="15" thickBot="1" x14ac:dyDescent="0.35"/>
    <row r="14" spans="1:8" x14ac:dyDescent="0.3">
      <c r="C14" s="604" t="str">
        <f>template_label_b8_workforce_general_characteristics_gender&amp;" "&amp;template_label_always_to_be_reported</f>
        <v>B8 – Workforce – General characteristics - Gender [Always to be reported]</v>
      </c>
      <c r="D14" s="605"/>
      <c r="E14" s="605"/>
      <c r="F14" s="605"/>
      <c r="G14" s="606"/>
      <c r="H14"/>
    </row>
    <row r="15" spans="1:8" x14ac:dyDescent="0.3">
      <c r="C15" s="534" t="s">
        <v>3755</v>
      </c>
      <c r="D15" s="535"/>
      <c r="E15" s="535"/>
      <c r="F15" s="535"/>
      <c r="G15" s="536"/>
    </row>
    <row r="16" spans="1:8" x14ac:dyDescent="0.3">
      <c r="C16" s="649" t="s">
        <v>5655</v>
      </c>
      <c r="D16" s="650"/>
      <c r="E16" s="650"/>
      <c r="F16" s="650"/>
      <c r="G16" s="651"/>
    </row>
    <row r="17" spans="3:22" x14ac:dyDescent="0.3">
      <c r="C17" s="152" t="str">
        <f>template_label_gender</f>
        <v>Gender</v>
      </c>
      <c r="D17" s="960" t="str">
        <f>template_label_number_of_employees</f>
        <v>Number of employees</v>
      </c>
      <c r="E17" s="961"/>
      <c r="F17" s="961"/>
      <c r="G17" s="962"/>
    </row>
    <row r="18" spans="3:22" x14ac:dyDescent="0.3">
      <c r="C18" s="153" t="str">
        <f>template_label_male</f>
        <v>Male</v>
      </c>
      <c r="D18" s="963"/>
      <c r="E18" s="964"/>
      <c r="F18" s="964"/>
      <c r="G18" s="965"/>
      <c r="H18" s="966"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950" t="str">
        <f>template_label_number_of_employees_warning</f>
        <v xml:space="preserve">ℹ️  Please make sure that the total number of employees is the same as the one provided in the "General Information" sheet cell E55
</v>
      </c>
      <c r="J18" s="950"/>
      <c r="K18" s="950"/>
      <c r="L18" s="950"/>
      <c r="M18" s="950"/>
    </row>
    <row r="19" spans="3:22" x14ac:dyDescent="0.3">
      <c r="C19" s="153" t="str">
        <f>template_label_female</f>
        <v>Female</v>
      </c>
      <c r="D19" s="963"/>
      <c r="E19" s="964"/>
      <c r="F19" s="964"/>
      <c r="G19" s="965"/>
      <c r="H19" s="966"/>
      <c r="I19" s="950"/>
      <c r="J19" s="950"/>
      <c r="K19" s="950"/>
      <c r="L19" s="950"/>
      <c r="M19" s="950"/>
    </row>
    <row r="20" spans="3:22" x14ac:dyDescent="0.3">
      <c r="C20" s="153" t="str">
        <f>template_label_other</f>
        <v>Other</v>
      </c>
      <c r="D20" s="963"/>
      <c r="E20" s="964"/>
      <c r="F20" s="964"/>
      <c r="G20" s="965"/>
      <c r="H20" s="966"/>
      <c r="I20" s="950"/>
      <c r="J20" s="950"/>
      <c r="K20" s="950"/>
      <c r="L20" s="950"/>
      <c r="M20" s="950"/>
    </row>
    <row r="21" spans="3:22" x14ac:dyDescent="0.3">
      <c r="C21" s="153" t="str">
        <f>template_label_not_reported</f>
        <v>Not reported</v>
      </c>
      <c r="D21" s="967"/>
      <c r="E21" s="968"/>
      <c r="F21" s="968"/>
      <c r="G21" s="969"/>
      <c r="H21" s="966"/>
      <c r="I21" s="950"/>
      <c r="J21" s="950"/>
      <c r="K21" s="950"/>
      <c r="L21" s="950"/>
      <c r="M21" s="950"/>
    </row>
    <row r="22" spans="3:22" ht="15" thickBot="1" x14ac:dyDescent="0.35">
      <c r="C22" s="151" t="str">
        <f>template_label_total_employees</f>
        <v>Total employees (linked to B1)</v>
      </c>
      <c r="D22" s="978" t="str">
        <f>IF('General Information'!$E$328="","-",'General Information'!$E$328)</f>
        <v>-</v>
      </c>
      <c r="E22" s="978"/>
      <c r="F22" s="978"/>
      <c r="G22" s="979"/>
      <c r="H22" s="18"/>
    </row>
    <row r="23" spans="3:22" ht="15" thickBot="1" x14ac:dyDescent="0.35"/>
    <row r="24" spans="3:22" x14ac:dyDescent="0.3">
      <c r="C24" s="980" t="str">
        <f>template_label_b8_workforce_general_characteristics_country_of_employment&amp;" "&amp;template_label_if_applicable</f>
        <v>B8 – Workforce – General characteristics - Country of employment [If applicable]</v>
      </c>
      <c r="D24" s="981"/>
      <c r="E24" s="981"/>
      <c r="F24" s="981"/>
      <c r="G24" s="981"/>
      <c r="H24" s="982"/>
    </row>
    <row r="25" spans="3:22" x14ac:dyDescent="0.3">
      <c r="C25" s="763" t="s">
        <v>3756</v>
      </c>
      <c r="D25" s="764"/>
      <c r="E25" s="764"/>
      <c r="F25" s="764"/>
      <c r="G25" s="764"/>
      <c r="H25" s="765"/>
    </row>
    <row r="26" spans="3:22" x14ac:dyDescent="0.3">
      <c r="C26" s="694" t="s">
        <v>5655</v>
      </c>
      <c r="D26" s="695"/>
      <c r="E26" s="695"/>
      <c r="F26" s="695"/>
      <c r="G26" s="695"/>
      <c r="H26" s="696"/>
    </row>
    <row r="27" spans="3:22" x14ac:dyDescent="0.3">
      <c r="C27" s="987" t="str">
        <f>template_label_undertaking_operating_in_more_than_one_country</f>
        <v>Does the undertaking operate in more than one country?</v>
      </c>
      <c r="D27" s="988"/>
      <c r="E27" s="658" t="b">
        <v>0</v>
      </c>
      <c r="F27" s="659"/>
      <c r="G27" s="659"/>
      <c r="H27" s="660"/>
    </row>
    <row r="28" spans="3:22" x14ac:dyDescent="0.3">
      <c r="C28" s="983" t="str">
        <f>template_label_country_of_employment_contract</f>
        <v>Country of employment contract</v>
      </c>
      <c r="D28" s="984"/>
      <c r="E28" s="985" t="str">
        <f>template_label_number_of_employees</f>
        <v>Number of employees</v>
      </c>
      <c r="F28" s="985"/>
      <c r="G28" s="985"/>
      <c r="H28" s="986"/>
    </row>
    <row r="29" spans="3:22" ht="14.55" customHeight="1" x14ac:dyDescent="0.3">
      <c r="C29" s="948"/>
      <c r="D29" s="949"/>
      <c r="E29" s="946"/>
      <c r="F29" s="946"/>
      <c r="G29" s="946"/>
      <c r="H29" s="947"/>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951" t="str">
        <f>template_label_number_of_employees_warning</f>
        <v xml:space="preserve">ℹ️  Please make sure that the total number of employees is the same as the one provided in the "General Information" sheet cell E55
</v>
      </c>
      <c r="K29" s="951"/>
      <c r="L29" s="951"/>
      <c r="M29" s="951"/>
      <c r="N29" s="951"/>
      <c r="O29" s="951"/>
      <c r="P29" s="951"/>
      <c r="Q29" s="951"/>
      <c r="R29" s="951"/>
      <c r="S29" s="951"/>
      <c r="T29" s="951"/>
      <c r="U29" s="951"/>
      <c r="V29" s="951"/>
    </row>
    <row r="30" spans="3:22" x14ac:dyDescent="0.3">
      <c r="C30" s="948"/>
      <c r="D30" s="949"/>
      <c r="E30" s="946"/>
      <c r="F30" s="946"/>
      <c r="G30" s="946"/>
      <c r="H30" s="947"/>
      <c r="I30" s="15" t="str">
        <f t="shared" si="0"/>
        <v/>
      </c>
      <c r="J30" s="951"/>
      <c r="K30" s="951"/>
      <c r="L30" s="951"/>
      <c r="M30" s="951"/>
      <c r="N30" s="951"/>
      <c r="O30" s="951"/>
      <c r="P30" s="951"/>
      <c r="Q30" s="951"/>
      <c r="R30" s="951"/>
      <c r="S30" s="951"/>
      <c r="T30" s="951"/>
      <c r="U30" s="951"/>
      <c r="V30" s="951"/>
    </row>
    <row r="31" spans="3:22" x14ac:dyDescent="0.3">
      <c r="C31" s="948"/>
      <c r="D31" s="949"/>
      <c r="E31" s="946"/>
      <c r="F31" s="946"/>
      <c r="G31" s="946"/>
      <c r="H31" s="94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48"/>
      <c r="D32" s="949"/>
      <c r="E32" s="946"/>
      <c r="F32" s="946"/>
      <c r="G32" s="946"/>
      <c r="H32" s="947"/>
      <c r="I32" s="15" t="str">
        <f t="shared" si="0"/>
        <v/>
      </c>
    </row>
    <row r="33" spans="3:9" hidden="1" outlineLevel="1" x14ac:dyDescent="0.3">
      <c r="C33" s="948"/>
      <c r="D33" s="949"/>
      <c r="E33" s="946"/>
      <c r="F33" s="946"/>
      <c r="G33" s="946"/>
      <c r="H33" s="947"/>
      <c r="I33" s="15" t="str">
        <f t="shared" si="0"/>
        <v/>
      </c>
    </row>
    <row r="34" spans="3:9" hidden="1" outlineLevel="1" x14ac:dyDescent="0.3">
      <c r="C34" s="948"/>
      <c r="D34" s="949"/>
      <c r="E34" s="946"/>
      <c r="F34" s="946"/>
      <c r="G34" s="946"/>
      <c r="H34" s="947"/>
      <c r="I34" s="15" t="str">
        <f t="shared" si="0"/>
        <v/>
      </c>
    </row>
    <row r="35" spans="3:9" hidden="1" outlineLevel="1" x14ac:dyDescent="0.3">
      <c r="C35" s="948"/>
      <c r="D35" s="949"/>
      <c r="E35" s="946"/>
      <c r="F35" s="946"/>
      <c r="G35" s="946"/>
      <c r="H35" s="947"/>
      <c r="I35" s="15" t="str">
        <f t="shared" si="0"/>
        <v/>
      </c>
    </row>
    <row r="36" spans="3:9" hidden="1" outlineLevel="1" x14ac:dyDescent="0.3">
      <c r="C36" s="948"/>
      <c r="D36" s="949"/>
      <c r="E36" s="946"/>
      <c r="F36" s="946"/>
      <c r="G36" s="946"/>
      <c r="H36" s="947"/>
      <c r="I36" s="15" t="str">
        <f t="shared" si="0"/>
        <v/>
      </c>
    </row>
    <row r="37" spans="3:9" hidden="1" outlineLevel="1" x14ac:dyDescent="0.3">
      <c r="C37" s="948"/>
      <c r="D37" s="949"/>
      <c r="E37" s="946"/>
      <c r="F37" s="946"/>
      <c r="G37" s="946"/>
      <c r="H37" s="947"/>
      <c r="I37" s="15" t="str">
        <f t="shared" si="0"/>
        <v/>
      </c>
    </row>
    <row r="38" spans="3:9" hidden="1" outlineLevel="1" x14ac:dyDescent="0.3">
      <c r="C38" s="948"/>
      <c r="D38" s="949"/>
      <c r="E38" s="946"/>
      <c r="F38" s="946"/>
      <c r="G38" s="946"/>
      <c r="H38" s="947"/>
      <c r="I38" s="15" t="str">
        <f t="shared" si="0"/>
        <v/>
      </c>
    </row>
    <row r="39" spans="3:9" hidden="1" outlineLevel="1" x14ac:dyDescent="0.3">
      <c r="C39" s="948"/>
      <c r="D39" s="949"/>
      <c r="E39" s="946"/>
      <c r="F39" s="946"/>
      <c r="G39" s="946"/>
      <c r="H39" s="947"/>
      <c r="I39" s="15" t="str">
        <f t="shared" si="0"/>
        <v/>
      </c>
    </row>
    <row r="40" spans="3:9" hidden="1" outlineLevel="1" x14ac:dyDescent="0.3">
      <c r="C40" s="948"/>
      <c r="D40" s="949"/>
      <c r="E40" s="946"/>
      <c r="F40" s="946"/>
      <c r="G40" s="946"/>
      <c r="H40" s="947"/>
      <c r="I40" s="15" t="str">
        <f t="shared" si="0"/>
        <v/>
      </c>
    </row>
    <row r="41" spans="3:9" hidden="1" outlineLevel="1" x14ac:dyDescent="0.3">
      <c r="C41" s="948"/>
      <c r="D41" s="949"/>
      <c r="E41" s="946"/>
      <c r="F41" s="946"/>
      <c r="G41" s="946"/>
      <c r="H41" s="947"/>
      <c r="I41" s="15" t="str">
        <f t="shared" si="0"/>
        <v/>
      </c>
    </row>
    <row r="42" spans="3:9" hidden="1" outlineLevel="1" x14ac:dyDescent="0.3">
      <c r="C42" s="948"/>
      <c r="D42" s="949"/>
      <c r="E42" s="946"/>
      <c r="F42" s="946"/>
      <c r="G42" s="946"/>
      <c r="H42" s="947"/>
      <c r="I42" s="15" t="str">
        <f t="shared" si="0"/>
        <v/>
      </c>
    </row>
    <row r="43" spans="3:9" hidden="1" outlineLevel="1" x14ac:dyDescent="0.3">
      <c r="C43" s="948"/>
      <c r="D43" s="949"/>
      <c r="E43" s="946"/>
      <c r="F43" s="946"/>
      <c r="G43" s="946"/>
      <c r="H43" s="947"/>
      <c r="I43" s="15" t="str">
        <f t="shared" si="0"/>
        <v/>
      </c>
    </row>
    <row r="44" spans="3:9" hidden="1" outlineLevel="1" x14ac:dyDescent="0.3">
      <c r="C44" s="948"/>
      <c r="D44" s="949"/>
      <c r="E44" s="946"/>
      <c r="F44" s="946"/>
      <c r="G44" s="946"/>
      <c r="H44" s="947"/>
      <c r="I44" s="15" t="str">
        <f t="shared" si="0"/>
        <v/>
      </c>
    </row>
    <row r="45" spans="3:9" hidden="1" outlineLevel="1" x14ac:dyDescent="0.3">
      <c r="C45" s="948"/>
      <c r="D45" s="949"/>
      <c r="E45" s="946"/>
      <c r="F45" s="946"/>
      <c r="G45" s="946"/>
      <c r="H45" s="947"/>
      <c r="I45" s="15" t="str">
        <f t="shared" si="0"/>
        <v/>
      </c>
    </row>
    <row r="46" spans="3:9" hidden="1" outlineLevel="1" x14ac:dyDescent="0.3">
      <c r="C46" s="948"/>
      <c r="D46" s="949"/>
      <c r="E46" s="946"/>
      <c r="F46" s="946"/>
      <c r="G46" s="946"/>
      <c r="H46" s="947"/>
      <c r="I46" s="15" t="str">
        <f t="shared" si="0"/>
        <v/>
      </c>
    </row>
    <row r="47" spans="3:9" hidden="1" outlineLevel="1" x14ac:dyDescent="0.3">
      <c r="C47" s="948"/>
      <c r="D47" s="949"/>
      <c r="E47" s="946"/>
      <c r="F47" s="946"/>
      <c r="G47" s="946"/>
      <c r="H47" s="947"/>
      <c r="I47" s="15" t="str">
        <f t="shared" si="0"/>
        <v/>
      </c>
    </row>
    <row r="48" spans="3:9" hidden="1" outlineLevel="1" x14ac:dyDescent="0.3">
      <c r="C48" s="948"/>
      <c r="D48" s="949"/>
      <c r="E48" s="946"/>
      <c r="F48" s="946"/>
      <c r="G48" s="946"/>
      <c r="H48" s="947"/>
      <c r="I48" s="15" t="str">
        <f t="shared" si="0"/>
        <v/>
      </c>
    </row>
    <row r="49" spans="3:9" hidden="1" outlineLevel="1" x14ac:dyDescent="0.3">
      <c r="C49" s="948"/>
      <c r="D49" s="949"/>
      <c r="E49" s="946"/>
      <c r="F49" s="946"/>
      <c r="G49" s="946"/>
      <c r="H49" s="947"/>
      <c r="I49" s="15" t="str">
        <f t="shared" si="0"/>
        <v/>
      </c>
    </row>
    <row r="50" spans="3:9" hidden="1" outlineLevel="1" x14ac:dyDescent="0.3">
      <c r="C50" s="948"/>
      <c r="D50" s="949"/>
      <c r="E50" s="946"/>
      <c r="F50" s="946"/>
      <c r="G50" s="946"/>
      <c r="H50" s="947"/>
      <c r="I50" s="15" t="str">
        <f t="shared" si="0"/>
        <v/>
      </c>
    </row>
    <row r="51" spans="3:9" hidden="1" outlineLevel="1" x14ac:dyDescent="0.3">
      <c r="C51" s="948"/>
      <c r="D51" s="949"/>
      <c r="E51" s="946"/>
      <c r="F51" s="946"/>
      <c r="G51" s="946"/>
      <c r="H51" s="947"/>
      <c r="I51" s="15" t="str">
        <f t="shared" si="0"/>
        <v/>
      </c>
    </row>
    <row r="52" spans="3:9" hidden="1" outlineLevel="1" x14ac:dyDescent="0.3">
      <c r="C52" s="948"/>
      <c r="D52" s="949"/>
      <c r="E52" s="946"/>
      <c r="F52" s="946"/>
      <c r="G52" s="946"/>
      <c r="H52" s="947"/>
      <c r="I52" s="15" t="str">
        <f t="shared" si="0"/>
        <v/>
      </c>
    </row>
    <row r="53" spans="3:9" hidden="1" outlineLevel="1" x14ac:dyDescent="0.3">
      <c r="C53" s="948"/>
      <c r="D53" s="949"/>
      <c r="E53" s="946"/>
      <c r="F53" s="946"/>
      <c r="G53" s="946"/>
      <c r="H53" s="947"/>
      <c r="I53" s="15" t="str">
        <f t="shared" si="0"/>
        <v/>
      </c>
    </row>
    <row r="54" spans="3:9" hidden="1" outlineLevel="1" x14ac:dyDescent="0.3">
      <c r="C54" s="948"/>
      <c r="D54" s="949"/>
      <c r="E54" s="946"/>
      <c r="F54" s="946"/>
      <c r="G54" s="946"/>
      <c r="H54" s="947"/>
      <c r="I54" s="15" t="str">
        <f t="shared" si="0"/>
        <v/>
      </c>
    </row>
    <row r="55" spans="3:9" hidden="1" outlineLevel="1" x14ac:dyDescent="0.3">
      <c r="C55" s="948"/>
      <c r="D55" s="949"/>
      <c r="E55" s="946"/>
      <c r="F55" s="946"/>
      <c r="G55" s="946"/>
      <c r="H55" s="947"/>
      <c r="I55" s="15" t="str">
        <f t="shared" si="0"/>
        <v/>
      </c>
    </row>
    <row r="56" spans="3:9" hidden="1" outlineLevel="1" x14ac:dyDescent="0.3">
      <c r="C56" s="948"/>
      <c r="D56" s="949"/>
      <c r="E56" s="946"/>
      <c r="F56" s="946"/>
      <c r="G56" s="946"/>
      <c r="H56" s="947"/>
      <c r="I56" s="15" t="str">
        <f t="shared" si="0"/>
        <v/>
      </c>
    </row>
    <row r="57" spans="3:9" hidden="1" outlineLevel="1" x14ac:dyDescent="0.3">
      <c r="C57" s="948"/>
      <c r="D57" s="949"/>
      <c r="E57" s="946"/>
      <c r="F57" s="946"/>
      <c r="G57" s="946"/>
      <c r="H57" s="947"/>
      <c r="I57" s="15" t="str">
        <f t="shared" si="0"/>
        <v/>
      </c>
    </row>
    <row r="58" spans="3:9" hidden="1" outlineLevel="1" x14ac:dyDescent="0.3">
      <c r="C58" s="948"/>
      <c r="D58" s="949"/>
      <c r="E58" s="946"/>
      <c r="F58" s="946"/>
      <c r="G58" s="946"/>
      <c r="H58" s="947"/>
      <c r="I58" s="15" t="str">
        <f t="shared" si="0"/>
        <v/>
      </c>
    </row>
    <row r="59" spans="3:9" hidden="1" outlineLevel="1" x14ac:dyDescent="0.3">
      <c r="C59" s="948"/>
      <c r="D59" s="949"/>
      <c r="E59" s="946"/>
      <c r="F59" s="946"/>
      <c r="G59" s="946"/>
      <c r="H59" s="947"/>
      <c r="I59" s="15" t="str">
        <f t="shared" si="0"/>
        <v/>
      </c>
    </row>
    <row r="60" spans="3:9" hidden="1" outlineLevel="1" x14ac:dyDescent="0.3">
      <c r="C60" s="948"/>
      <c r="D60" s="949"/>
      <c r="E60" s="946"/>
      <c r="F60" s="946"/>
      <c r="G60" s="946"/>
      <c r="H60" s="947"/>
      <c r="I60" s="15" t="str">
        <f t="shared" si="0"/>
        <v/>
      </c>
    </row>
    <row r="61" spans="3:9" hidden="1" outlineLevel="1" x14ac:dyDescent="0.3">
      <c r="C61" s="948"/>
      <c r="D61" s="949"/>
      <c r="E61" s="946"/>
      <c r="F61" s="946"/>
      <c r="G61" s="946"/>
      <c r="H61" s="947"/>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948"/>
      <c r="D62" s="949"/>
      <c r="E62" s="946"/>
      <c r="F62" s="946"/>
      <c r="G62" s="946"/>
      <c r="H62" s="947"/>
      <c r="I62" s="15" t="str">
        <f t="shared" si="1"/>
        <v/>
      </c>
    </row>
    <row r="63" spans="3:9" hidden="1" outlineLevel="1" x14ac:dyDescent="0.3">
      <c r="C63" s="948"/>
      <c r="D63" s="949"/>
      <c r="E63" s="946"/>
      <c r="F63" s="946"/>
      <c r="G63" s="946"/>
      <c r="H63" s="947"/>
      <c r="I63" s="15" t="str">
        <f t="shared" si="1"/>
        <v/>
      </c>
    </row>
    <row r="64" spans="3:9" hidden="1" outlineLevel="1" x14ac:dyDescent="0.3">
      <c r="C64" s="948"/>
      <c r="D64" s="949"/>
      <c r="E64" s="946"/>
      <c r="F64" s="946"/>
      <c r="G64" s="946"/>
      <c r="H64" s="947"/>
      <c r="I64" s="15" t="str">
        <f t="shared" si="1"/>
        <v/>
      </c>
    </row>
    <row r="65" spans="3:9" hidden="1" outlineLevel="1" x14ac:dyDescent="0.3">
      <c r="C65" s="948"/>
      <c r="D65" s="949"/>
      <c r="E65" s="946"/>
      <c r="F65" s="946"/>
      <c r="G65" s="946"/>
      <c r="H65" s="947"/>
      <c r="I65" s="15" t="str">
        <f t="shared" si="1"/>
        <v/>
      </c>
    </row>
    <row r="66" spans="3:9" hidden="1" outlineLevel="1" x14ac:dyDescent="0.3">
      <c r="C66" s="948"/>
      <c r="D66" s="949"/>
      <c r="E66" s="946"/>
      <c r="F66" s="946"/>
      <c r="G66" s="946"/>
      <c r="H66" s="947"/>
      <c r="I66" s="15" t="str">
        <f t="shared" si="1"/>
        <v/>
      </c>
    </row>
    <row r="67" spans="3:9" hidden="1" outlineLevel="1" x14ac:dyDescent="0.3">
      <c r="C67" s="948"/>
      <c r="D67" s="949"/>
      <c r="E67" s="946"/>
      <c r="F67" s="946"/>
      <c r="G67" s="946"/>
      <c r="H67" s="947"/>
      <c r="I67" s="15" t="str">
        <f t="shared" si="1"/>
        <v/>
      </c>
    </row>
    <row r="68" spans="3:9" hidden="1" outlineLevel="1" x14ac:dyDescent="0.3">
      <c r="C68" s="948"/>
      <c r="D68" s="949"/>
      <c r="E68" s="946"/>
      <c r="F68" s="946"/>
      <c r="G68" s="946"/>
      <c r="H68" s="947"/>
      <c r="I68" s="15" t="str">
        <f t="shared" si="1"/>
        <v/>
      </c>
    </row>
    <row r="69" spans="3:9" hidden="1" outlineLevel="1" x14ac:dyDescent="0.3">
      <c r="C69" s="948"/>
      <c r="D69" s="949"/>
      <c r="E69" s="946"/>
      <c r="F69" s="946"/>
      <c r="G69" s="946"/>
      <c r="H69" s="947"/>
      <c r="I69" s="15" t="str">
        <f t="shared" si="1"/>
        <v/>
      </c>
    </row>
    <row r="70" spans="3:9" hidden="1" outlineLevel="1" x14ac:dyDescent="0.3">
      <c r="C70" s="948"/>
      <c r="D70" s="949"/>
      <c r="E70" s="946"/>
      <c r="F70" s="946"/>
      <c r="G70" s="946"/>
      <c r="H70" s="947"/>
      <c r="I70" s="15" t="str">
        <f t="shared" si="1"/>
        <v/>
      </c>
    </row>
    <row r="71" spans="3:9" hidden="1" outlineLevel="1" x14ac:dyDescent="0.3">
      <c r="C71" s="948"/>
      <c r="D71" s="949"/>
      <c r="E71" s="946"/>
      <c r="F71" s="946"/>
      <c r="G71" s="946"/>
      <c r="H71" s="947"/>
      <c r="I71" s="15" t="str">
        <f t="shared" si="1"/>
        <v/>
      </c>
    </row>
    <row r="72" spans="3:9" hidden="1" outlineLevel="1" x14ac:dyDescent="0.3">
      <c r="C72" s="948"/>
      <c r="D72" s="949"/>
      <c r="E72" s="946"/>
      <c r="F72" s="946"/>
      <c r="G72" s="946"/>
      <c r="H72" s="947"/>
      <c r="I72" s="15" t="str">
        <f t="shared" si="1"/>
        <v/>
      </c>
    </row>
    <row r="73" spans="3:9" hidden="1" outlineLevel="1" x14ac:dyDescent="0.3">
      <c r="C73" s="948"/>
      <c r="D73" s="949"/>
      <c r="E73" s="946"/>
      <c r="F73" s="946"/>
      <c r="G73" s="946"/>
      <c r="H73" s="947"/>
      <c r="I73" s="15" t="str">
        <f t="shared" si="1"/>
        <v/>
      </c>
    </row>
    <row r="74" spans="3:9" hidden="1" outlineLevel="1" x14ac:dyDescent="0.3">
      <c r="C74" s="948"/>
      <c r="D74" s="949"/>
      <c r="E74" s="946"/>
      <c r="F74" s="946"/>
      <c r="G74" s="946"/>
      <c r="H74" s="947"/>
      <c r="I74" s="15" t="str">
        <f t="shared" si="1"/>
        <v/>
      </c>
    </row>
    <row r="75" spans="3:9" hidden="1" outlineLevel="1" x14ac:dyDescent="0.3">
      <c r="C75" s="948"/>
      <c r="D75" s="949"/>
      <c r="E75" s="946"/>
      <c r="F75" s="946"/>
      <c r="G75" s="946"/>
      <c r="H75" s="947"/>
      <c r="I75" s="15" t="str">
        <f t="shared" si="1"/>
        <v/>
      </c>
    </row>
    <row r="76" spans="3:9" hidden="1" outlineLevel="1" x14ac:dyDescent="0.3">
      <c r="C76" s="948"/>
      <c r="D76" s="949"/>
      <c r="E76" s="946"/>
      <c r="F76" s="946"/>
      <c r="G76" s="946"/>
      <c r="H76" s="947"/>
      <c r="I76" s="15" t="str">
        <f t="shared" si="1"/>
        <v/>
      </c>
    </row>
    <row r="77" spans="3:9" hidden="1" outlineLevel="1" x14ac:dyDescent="0.3">
      <c r="C77" s="948"/>
      <c r="D77" s="949"/>
      <c r="E77" s="946"/>
      <c r="F77" s="946"/>
      <c r="G77" s="946"/>
      <c r="H77" s="947"/>
      <c r="I77" s="15" t="str">
        <f t="shared" si="1"/>
        <v/>
      </c>
    </row>
    <row r="78" spans="3:9" hidden="1" outlineLevel="1" x14ac:dyDescent="0.3">
      <c r="C78" s="948"/>
      <c r="D78" s="949"/>
      <c r="E78" s="946"/>
      <c r="F78" s="946"/>
      <c r="G78" s="946"/>
      <c r="H78" s="947"/>
      <c r="I78" s="15" t="str">
        <f t="shared" si="1"/>
        <v/>
      </c>
    </row>
    <row r="79" spans="3:9" hidden="1" outlineLevel="1" x14ac:dyDescent="0.3">
      <c r="C79" s="948"/>
      <c r="D79" s="949"/>
      <c r="E79" s="946"/>
      <c r="F79" s="946"/>
      <c r="G79" s="946"/>
      <c r="H79" s="947"/>
      <c r="I79" s="15" t="str">
        <f t="shared" si="1"/>
        <v/>
      </c>
    </row>
    <row r="80" spans="3:9" hidden="1" outlineLevel="1" x14ac:dyDescent="0.3">
      <c r="C80" s="948"/>
      <c r="D80" s="949"/>
      <c r="E80" s="946"/>
      <c r="F80" s="946"/>
      <c r="G80" s="946"/>
      <c r="H80" s="947"/>
      <c r="I80" s="15" t="str">
        <f t="shared" si="1"/>
        <v/>
      </c>
    </row>
    <row r="81" spans="3:9" hidden="1" outlineLevel="1" x14ac:dyDescent="0.3">
      <c r="C81" s="948"/>
      <c r="D81" s="949"/>
      <c r="E81" s="946"/>
      <c r="F81" s="946"/>
      <c r="G81" s="946"/>
      <c r="H81" s="947"/>
      <c r="I81" s="15" t="str">
        <f t="shared" si="1"/>
        <v/>
      </c>
    </row>
    <row r="82" spans="3:9" hidden="1" outlineLevel="1" x14ac:dyDescent="0.3">
      <c r="C82" s="948"/>
      <c r="D82" s="949"/>
      <c r="E82" s="946"/>
      <c r="F82" s="946"/>
      <c r="G82" s="946"/>
      <c r="H82" s="947"/>
      <c r="I82" s="15" t="str">
        <f t="shared" si="1"/>
        <v/>
      </c>
    </row>
    <row r="83" spans="3:9" hidden="1" outlineLevel="1" x14ac:dyDescent="0.3">
      <c r="C83" s="948"/>
      <c r="D83" s="949"/>
      <c r="E83" s="946"/>
      <c r="F83" s="946"/>
      <c r="G83" s="946"/>
      <c r="H83" s="947"/>
      <c r="I83" s="15" t="str">
        <f t="shared" si="1"/>
        <v/>
      </c>
    </row>
    <row r="84" spans="3:9" hidden="1" outlineLevel="1" x14ac:dyDescent="0.3">
      <c r="C84" s="948"/>
      <c r="D84" s="949"/>
      <c r="E84" s="946"/>
      <c r="F84" s="946"/>
      <c r="G84" s="946"/>
      <c r="H84" s="947"/>
      <c r="I84" s="15" t="str">
        <f t="shared" si="1"/>
        <v/>
      </c>
    </row>
    <row r="85" spans="3:9" hidden="1" outlineLevel="1" x14ac:dyDescent="0.3">
      <c r="C85" s="948"/>
      <c r="D85" s="949"/>
      <c r="E85" s="946"/>
      <c r="F85" s="946"/>
      <c r="G85" s="946"/>
      <c r="H85" s="947"/>
      <c r="I85" s="15" t="str">
        <f t="shared" si="1"/>
        <v/>
      </c>
    </row>
    <row r="86" spans="3:9" hidden="1" outlineLevel="1" x14ac:dyDescent="0.3">
      <c r="C86" s="948"/>
      <c r="D86" s="949"/>
      <c r="E86" s="946"/>
      <c r="F86" s="946"/>
      <c r="G86" s="946"/>
      <c r="H86" s="947"/>
      <c r="I86" s="15" t="str">
        <f t="shared" si="1"/>
        <v/>
      </c>
    </row>
    <row r="87" spans="3:9" hidden="1" outlineLevel="1" x14ac:dyDescent="0.3">
      <c r="C87" s="948"/>
      <c r="D87" s="949"/>
      <c r="E87" s="946"/>
      <c r="F87" s="946"/>
      <c r="G87" s="946"/>
      <c r="H87" s="947"/>
      <c r="I87" s="15" t="str">
        <f t="shared" si="1"/>
        <v/>
      </c>
    </row>
    <row r="88" spans="3:9" hidden="1" outlineLevel="1" x14ac:dyDescent="0.3">
      <c r="C88" s="948"/>
      <c r="D88" s="949"/>
      <c r="E88" s="946"/>
      <c r="F88" s="946"/>
      <c r="G88" s="946"/>
      <c r="H88" s="947"/>
      <c r="I88" s="15" t="str">
        <f t="shared" si="1"/>
        <v/>
      </c>
    </row>
    <row r="89" spans="3:9" hidden="1" outlineLevel="1" x14ac:dyDescent="0.3">
      <c r="C89" s="948"/>
      <c r="D89" s="949"/>
      <c r="E89" s="946"/>
      <c r="F89" s="946"/>
      <c r="G89" s="946"/>
      <c r="H89" s="947"/>
      <c r="I89" s="15" t="str">
        <f t="shared" si="1"/>
        <v/>
      </c>
    </row>
    <row r="90" spans="3:9" hidden="1" outlineLevel="1" x14ac:dyDescent="0.3">
      <c r="C90" s="948"/>
      <c r="D90" s="949"/>
      <c r="E90" s="946"/>
      <c r="F90" s="946"/>
      <c r="G90" s="946"/>
      <c r="H90" s="947"/>
      <c r="I90" s="15" t="str">
        <f t="shared" si="1"/>
        <v/>
      </c>
    </row>
    <row r="91" spans="3:9" hidden="1" outlineLevel="1" x14ac:dyDescent="0.3">
      <c r="C91" s="948"/>
      <c r="D91" s="949"/>
      <c r="E91" s="946"/>
      <c r="F91" s="946"/>
      <c r="G91" s="946"/>
      <c r="H91" s="947"/>
      <c r="I91" s="15" t="str">
        <f t="shared" si="1"/>
        <v/>
      </c>
    </row>
    <row r="92" spans="3:9" hidden="1" outlineLevel="1" x14ac:dyDescent="0.3">
      <c r="C92" s="948"/>
      <c r="D92" s="949"/>
      <c r="E92" s="946"/>
      <c r="F92" s="946"/>
      <c r="G92" s="946"/>
      <c r="H92" s="947"/>
      <c r="I92" s="15" t="str">
        <f t="shared" si="1"/>
        <v/>
      </c>
    </row>
    <row r="93" spans="3:9" hidden="1" outlineLevel="1" x14ac:dyDescent="0.3">
      <c r="C93" s="948"/>
      <c r="D93" s="949"/>
      <c r="E93" s="946"/>
      <c r="F93" s="946"/>
      <c r="G93" s="946"/>
      <c r="H93" s="947"/>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948"/>
      <c r="D94" s="949"/>
      <c r="E94" s="946"/>
      <c r="F94" s="946"/>
      <c r="G94" s="946"/>
      <c r="H94" s="947"/>
      <c r="I94" s="15" t="str">
        <f t="shared" si="2"/>
        <v/>
      </c>
    </row>
    <row r="95" spans="3:9" hidden="1" outlineLevel="1" x14ac:dyDescent="0.3">
      <c r="C95" s="948"/>
      <c r="D95" s="949"/>
      <c r="E95" s="946"/>
      <c r="F95" s="946"/>
      <c r="G95" s="946"/>
      <c r="H95" s="947"/>
      <c r="I95" s="15" t="str">
        <f t="shared" si="2"/>
        <v/>
      </c>
    </row>
    <row r="96" spans="3:9" hidden="1" outlineLevel="1" x14ac:dyDescent="0.3">
      <c r="C96" s="948"/>
      <c r="D96" s="949"/>
      <c r="E96" s="946"/>
      <c r="F96" s="946"/>
      <c r="G96" s="946"/>
      <c r="H96" s="947"/>
      <c r="I96" s="15" t="str">
        <f t="shared" si="2"/>
        <v/>
      </c>
    </row>
    <row r="97" spans="3:9" hidden="1" outlineLevel="1" x14ac:dyDescent="0.3">
      <c r="C97" s="948"/>
      <c r="D97" s="949"/>
      <c r="E97" s="946"/>
      <c r="F97" s="946"/>
      <c r="G97" s="946"/>
      <c r="H97" s="947"/>
      <c r="I97" s="15" t="str">
        <f t="shared" si="2"/>
        <v/>
      </c>
    </row>
    <row r="98" spans="3:9" hidden="1" outlineLevel="1" x14ac:dyDescent="0.3">
      <c r="C98" s="948"/>
      <c r="D98" s="949"/>
      <c r="E98" s="946"/>
      <c r="F98" s="946"/>
      <c r="G98" s="946"/>
      <c r="H98" s="947"/>
      <c r="I98" s="15" t="str">
        <f t="shared" si="2"/>
        <v/>
      </c>
    </row>
    <row r="99" spans="3:9" hidden="1" outlineLevel="1" x14ac:dyDescent="0.3">
      <c r="C99" s="948"/>
      <c r="D99" s="949"/>
      <c r="E99" s="946"/>
      <c r="F99" s="946"/>
      <c r="G99" s="946"/>
      <c r="H99" s="947"/>
      <c r="I99" s="15" t="str">
        <f t="shared" si="2"/>
        <v/>
      </c>
    </row>
    <row r="100" spans="3:9" hidden="1" outlineLevel="1" x14ac:dyDescent="0.3">
      <c r="C100" s="948"/>
      <c r="D100" s="949"/>
      <c r="E100" s="946"/>
      <c r="F100" s="946"/>
      <c r="G100" s="946"/>
      <c r="H100" s="947"/>
      <c r="I100" s="15" t="str">
        <f t="shared" si="2"/>
        <v/>
      </c>
    </row>
    <row r="101" spans="3:9" hidden="1" outlineLevel="1" x14ac:dyDescent="0.3">
      <c r="C101" s="948"/>
      <c r="D101" s="949"/>
      <c r="E101" s="946"/>
      <c r="F101" s="946"/>
      <c r="G101" s="946"/>
      <c r="H101" s="947"/>
      <c r="I101" s="15" t="str">
        <f t="shared" si="2"/>
        <v/>
      </c>
    </row>
    <row r="102" spans="3:9" hidden="1" outlineLevel="1" x14ac:dyDescent="0.3">
      <c r="C102" s="948"/>
      <c r="D102" s="949"/>
      <c r="E102" s="946"/>
      <c r="F102" s="946"/>
      <c r="G102" s="946"/>
      <c r="H102" s="947"/>
      <c r="I102" s="15" t="str">
        <f t="shared" si="2"/>
        <v/>
      </c>
    </row>
    <row r="103" spans="3:9" hidden="1" outlineLevel="1" x14ac:dyDescent="0.3">
      <c r="C103" s="948"/>
      <c r="D103" s="949"/>
      <c r="E103" s="946"/>
      <c r="F103" s="946"/>
      <c r="G103" s="946"/>
      <c r="H103" s="947"/>
      <c r="I103" s="15" t="str">
        <f t="shared" si="2"/>
        <v/>
      </c>
    </row>
    <row r="104" spans="3:9" hidden="1" outlineLevel="1" x14ac:dyDescent="0.3">
      <c r="C104" s="948"/>
      <c r="D104" s="949"/>
      <c r="E104" s="946"/>
      <c r="F104" s="946"/>
      <c r="G104" s="946"/>
      <c r="H104" s="947"/>
      <c r="I104" s="15" t="str">
        <f t="shared" si="2"/>
        <v/>
      </c>
    </row>
    <row r="105" spans="3:9" hidden="1" outlineLevel="1" x14ac:dyDescent="0.3">
      <c r="C105" s="948"/>
      <c r="D105" s="949"/>
      <c r="E105" s="946"/>
      <c r="F105" s="946"/>
      <c r="G105" s="946"/>
      <c r="H105" s="947"/>
      <c r="I105" s="15" t="str">
        <f t="shared" si="2"/>
        <v/>
      </c>
    </row>
    <row r="106" spans="3:9" hidden="1" outlineLevel="1" x14ac:dyDescent="0.3">
      <c r="C106" s="948"/>
      <c r="D106" s="949"/>
      <c r="E106" s="946"/>
      <c r="F106" s="946"/>
      <c r="G106" s="946"/>
      <c r="H106" s="947"/>
      <c r="I106" s="15" t="str">
        <f t="shared" si="2"/>
        <v/>
      </c>
    </row>
    <row r="107" spans="3:9" hidden="1" outlineLevel="1" x14ac:dyDescent="0.3">
      <c r="C107" s="948"/>
      <c r="D107" s="949"/>
      <c r="E107" s="946"/>
      <c r="F107" s="946"/>
      <c r="G107" s="946"/>
      <c r="H107" s="947"/>
      <c r="I107" s="15" t="str">
        <f t="shared" si="2"/>
        <v/>
      </c>
    </row>
    <row r="108" spans="3:9" hidden="1" outlineLevel="1" x14ac:dyDescent="0.3">
      <c r="C108" s="948"/>
      <c r="D108" s="949"/>
      <c r="E108" s="946"/>
      <c r="F108" s="946"/>
      <c r="G108" s="946"/>
      <c r="H108" s="947"/>
      <c r="I108" s="15" t="str">
        <f t="shared" si="2"/>
        <v/>
      </c>
    </row>
    <row r="109" spans="3:9" hidden="1" outlineLevel="1" x14ac:dyDescent="0.3">
      <c r="C109" s="948"/>
      <c r="D109" s="949"/>
      <c r="E109" s="946"/>
      <c r="F109" s="946"/>
      <c r="G109" s="946"/>
      <c r="H109" s="947"/>
      <c r="I109" s="15" t="str">
        <f t="shared" si="2"/>
        <v/>
      </c>
    </row>
    <row r="110" spans="3:9" hidden="1" outlineLevel="1" x14ac:dyDescent="0.3">
      <c r="C110" s="948"/>
      <c r="D110" s="949"/>
      <c r="E110" s="946"/>
      <c r="F110" s="946"/>
      <c r="G110" s="946"/>
      <c r="H110" s="947"/>
      <c r="I110" s="15" t="str">
        <f t="shared" si="2"/>
        <v/>
      </c>
    </row>
    <row r="111" spans="3:9" hidden="1" outlineLevel="1" x14ac:dyDescent="0.3">
      <c r="C111" s="948"/>
      <c r="D111" s="949"/>
      <c r="E111" s="946"/>
      <c r="F111" s="946"/>
      <c r="G111" s="946"/>
      <c r="H111" s="947"/>
      <c r="I111" s="15" t="str">
        <f t="shared" si="2"/>
        <v/>
      </c>
    </row>
    <row r="112" spans="3:9" hidden="1" outlineLevel="1" x14ac:dyDescent="0.3">
      <c r="C112" s="948"/>
      <c r="D112" s="949"/>
      <c r="E112" s="946"/>
      <c r="F112" s="946"/>
      <c r="G112" s="946"/>
      <c r="H112" s="947"/>
      <c r="I112" s="15" t="str">
        <f t="shared" si="2"/>
        <v/>
      </c>
    </row>
    <row r="113" spans="3:9" hidden="1" outlineLevel="1" x14ac:dyDescent="0.3">
      <c r="C113" s="948"/>
      <c r="D113" s="949"/>
      <c r="E113" s="946"/>
      <c r="F113" s="946"/>
      <c r="G113" s="946"/>
      <c r="H113" s="947"/>
      <c r="I113" s="15" t="str">
        <f t="shared" si="2"/>
        <v/>
      </c>
    </row>
    <row r="114" spans="3:9" hidden="1" outlineLevel="1" x14ac:dyDescent="0.3">
      <c r="C114" s="948"/>
      <c r="D114" s="949"/>
      <c r="E114" s="946"/>
      <c r="F114" s="946"/>
      <c r="G114" s="946"/>
      <c r="H114" s="947"/>
      <c r="I114" s="15" t="str">
        <f t="shared" si="2"/>
        <v/>
      </c>
    </row>
    <row r="115" spans="3:9" hidden="1" outlineLevel="1" x14ac:dyDescent="0.3">
      <c r="C115" s="948"/>
      <c r="D115" s="949"/>
      <c r="E115" s="946"/>
      <c r="F115" s="946"/>
      <c r="G115" s="946"/>
      <c r="H115" s="947"/>
      <c r="I115" s="15" t="str">
        <f t="shared" si="2"/>
        <v/>
      </c>
    </row>
    <row r="116" spans="3:9" hidden="1" outlineLevel="1" x14ac:dyDescent="0.3">
      <c r="C116" s="948"/>
      <c r="D116" s="949"/>
      <c r="E116" s="946"/>
      <c r="F116" s="946"/>
      <c r="G116" s="946"/>
      <c r="H116" s="947"/>
      <c r="I116" s="15" t="str">
        <f t="shared" si="2"/>
        <v/>
      </c>
    </row>
    <row r="117" spans="3:9" hidden="1" outlineLevel="1" x14ac:dyDescent="0.3">
      <c r="C117" s="948"/>
      <c r="D117" s="949"/>
      <c r="E117" s="946"/>
      <c r="F117" s="946"/>
      <c r="G117" s="946"/>
      <c r="H117" s="947"/>
      <c r="I117" s="15" t="str">
        <f t="shared" si="2"/>
        <v/>
      </c>
    </row>
    <row r="118" spans="3:9" hidden="1" outlineLevel="1" x14ac:dyDescent="0.3">
      <c r="C118" s="948"/>
      <c r="D118" s="949"/>
      <c r="E118" s="946"/>
      <c r="F118" s="946"/>
      <c r="G118" s="946"/>
      <c r="H118" s="947"/>
      <c r="I118" s="15" t="str">
        <f t="shared" si="2"/>
        <v/>
      </c>
    </row>
    <row r="119" spans="3:9" hidden="1" outlineLevel="1" x14ac:dyDescent="0.3">
      <c r="C119" s="948"/>
      <c r="D119" s="949"/>
      <c r="E119" s="946"/>
      <c r="F119" s="946"/>
      <c r="G119" s="946"/>
      <c r="H119" s="947"/>
      <c r="I119" s="15" t="str">
        <f t="shared" si="2"/>
        <v/>
      </c>
    </row>
    <row r="120" spans="3:9" hidden="1" outlineLevel="1" x14ac:dyDescent="0.3">
      <c r="C120" s="948"/>
      <c r="D120" s="949"/>
      <c r="E120" s="946"/>
      <c r="F120" s="946"/>
      <c r="G120" s="946"/>
      <c r="H120" s="947"/>
      <c r="I120" s="15" t="str">
        <f t="shared" si="2"/>
        <v/>
      </c>
    </row>
    <row r="121" spans="3:9" hidden="1" outlineLevel="1" x14ac:dyDescent="0.3">
      <c r="C121" s="948"/>
      <c r="D121" s="949"/>
      <c r="E121" s="946"/>
      <c r="F121" s="946"/>
      <c r="G121" s="946"/>
      <c r="H121" s="947"/>
      <c r="I121" s="15" t="str">
        <f t="shared" si="2"/>
        <v/>
      </c>
    </row>
    <row r="122" spans="3:9" hidden="1" outlineLevel="1" x14ac:dyDescent="0.3">
      <c r="C122" s="948"/>
      <c r="D122" s="949"/>
      <c r="E122" s="946"/>
      <c r="F122" s="946"/>
      <c r="G122" s="946"/>
      <c r="H122" s="947"/>
      <c r="I122" s="15" t="str">
        <f t="shared" si="2"/>
        <v/>
      </c>
    </row>
    <row r="123" spans="3:9" hidden="1" outlineLevel="1" x14ac:dyDescent="0.3">
      <c r="C123" s="948"/>
      <c r="D123" s="949"/>
      <c r="E123" s="946"/>
      <c r="F123" s="946"/>
      <c r="G123" s="946"/>
      <c r="H123" s="947"/>
      <c r="I123" s="15" t="str">
        <f t="shared" si="2"/>
        <v/>
      </c>
    </row>
    <row r="124" spans="3:9" hidden="1" outlineLevel="1" x14ac:dyDescent="0.3">
      <c r="C124" s="948"/>
      <c r="D124" s="949"/>
      <c r="E124" s="946"/>
      <c r="F124" s="946"/>
      <c r="G124" s="946"/>
      <c r="H124" s="947"/>
      <c r="I124" s="15" t="str">
        <f t="shared" si="2"/>
        <v/>
      </c>
    </row>
    <row r="125" spans="3:9" hidden="1" outlineLevel="1" x14ac:dyDescent="0.3">
      <c r="C125" s="948"/>
      <c r="D125" s="949"/>
      <c r="E125" s="946"/>
      <c r="F125" s="946"/>
      <c r="G125" s="946"/>
      <c r="H125" s="947"/>
      <c r="I125" s="15" t="str">
        <f t="shared" si="2"/>
        <v/>
      </c>
    </row>
    <row r="126" spans="3:9" hidden="1" outlineLevel="1" x14ac:dyDescent="0.3">
      <c r="C126" s="948"/>
      <c r="D126" s="949"/>
      <c r="E126" s="946"/>
      <c r="F126" s="946"/>
      <c r="G126" s="946"/>
      <c r="H126" s="947"/>
      <c r="I126" s="15" t="str">
        <f t="shared" si="2"/>
        <v/>
      </c>
    </row>
    <row r="127" spans="3:9" hidden="1" outlineLevel="1" x14ac:dyDescent="0.3">
      <c r="C127" s="948"/>
      <c r="D127" s="949"/>
      <c r="E127" s="946"/>
      <c r="F127" s="946"/>
      <c r="G127" s="946"/>
      <c r="H127" s="947"/>
      <c r="I127" s="15" t="str">
        <f t="shared" si="2"/>
        <v/>
      </c>
    </row>
    <row r="128" spans="3:9" hidden="1" outlineLevel="1" x14ac:dyDescent="0.3">
      <c r="C128" s="948"/>
      <c r="D128" s="949"/>
      <c r="E128" s="946"/>
      <c r="F128" s="946"/>
      <c r="G128" s="946"/>
      <c r="H128" s="947"/>
      <c r="I128" s="15" t="str">
        <f t="shared" si="2"/>
        <v/>
      </c>
    </row>
    <row r="129" spans="1:10" ht="15" collapsed="1" thickBot="1" x14ac:dyDescent="0.35">
      <c r="C129" s="993" t="str">
        <f>template_label_total_employees</f>
        <v>Total employees (linked to B1)</v>
      </c>
      <c r="D129" s="994"/>
      <c r="E129" s="995" t="str">
        <f>IF('General Information'!$E$328="","-",'General Information'!$E$328)</f>
        <v>-</v>
      </c>
      <c r="F129" s="995"/>
      <c r="G129" s="995"/>
      <c r="H129" s="979"/>
      <c r="I129" s="15"/>
    </row>
    <row r="130" spans="1:10" ht="15" thickBot="1" x14ac:dyDescent="0.35"/>
    <row r="131" spans="1:10" x14ac:dyDescent="0.3">
      <c r="C131" s="980"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981"/>
      <c r="E131" s="981"/>
      <c r="F131" s="981"/>
      <c r="G131" s="981"/>
      <c r="H131" s="982"/>
    </row>
    <row r="132" spans="1:10" x14ac:dyDescent="0.3">
      <c r="C132" s="534">
        <v>40</v>
      </c>
      <c r="D132" s="535"/>
      <c r="E132" s="535"/>
      <c r="F132" s="535"/>
      <c r="G132" s="535"/>
      <c r="H132" s="536"/>
    </row>
    <row r="133" spans="1:10" x14ac:dyDescent="0.3">
      <c r="C133" s="649">
        <v>118</v>
      </c>
      <c r="D133" s="650"/>
      <c r="E133" s="650"/>
      <c r="F133" s="650"/>
      <c r="G133" s="650"/>
      <c r="H133" s="651"/>
    </row>
    <row r="134" spans="1:10" x14ac:dyDescent="0.3">
      <c r="C134" s="154" t="str">
        <f>template_label_number_of_employees_who_left_during_the_reporting_period</f>
        <v>Number of employees who left during the reporting period</v>
      </c>
      <c r="D134" s="989"/>
      <c r="E134" s="989"/>
      <c r="F134" s="989"/>
      <c r="G134" s="989"/>
      <c r="H134" s="990"/>
      <c r="I134" s="15" t="str">
        <f>IF(
    AND('General Information'!$E$328&lt;50, D134=""),
    "",
    IF(
        AND('General Information'!$E$328&lt;50, D134&lt;&gt;""),
        template_label_ok,
        IF(
            AND('General Information'!$E$328&gt;=50, D134&lt;&gt;""),
            template_label_ok,
            template_label_missing_value
        )
    )
)</f>
        <v/>
      </c>
    </row>
    <row r="135" spans="1:10" x14ac:dyDescent="0.3">
      <c r="C135" s="154" t="str">
        <f>template_label_number_of_employees_at_the_beginning_of_the_reporting_period</f>
        <v>Number of employees at the beginning of the reporting period</v>
      </c>
      <c r="D135" s="989"/>
      <c r="E135" s="989"/>
      <c r="F135" s="989"/>
      <c r="G135" s="989"/>
      <c r="H135" s="990"/>
      <c r="I135" s="15" t="str">
        <f>IF(
    AND('General Information'!$E$328&lt;50, D135=""),
    "",
    IF(
        AND('General Information'!$E$328&lt;50, D135&lt;&gt;""),
        template_label_ok,
        IF(
            AND('General Information'!$E$328&gt;=50, D135&lt;&gt;""),
            template_label_ok,
            template_label_missing_value
        )
    )
)</f>
        <v/>
      </c>
    </row>
    <row r="136" spans="1:10" x14ac:dyDescent="0.3">
      <c r="C136" s="154" t="str">
        <f>template_label_number_of_employees_at_the_end_of_the_reporting_period</f>
        <v>Number of employees at the end of the reporting period</v>
      </c>
      <c r="D136" s="989"/>
      <c r="E136" s="989"/>
      <c r="F136" s="989"/>
      <c r="G136" s="989"/>
      <c r="H136" s="990"/>
      <c r="I136" s="15" t="str">
        <f>IF(
    AND('General Information'!$E$328&lt;50, D136=""),
    "",
    IF(
        AND('General Information'!$E$328&lt;50, D136&lt;&gt;""),
        template_label_ok,
        IF(
            AND('General Information'!$E$328&gt;=50, D136&lt;&gt;""),
            template_label_ok,
            template_label_missing_value
        )
    )
)</f>
        <v/>
      </c>
    </row>
    <row r="137" spans="1:10" ht="15" thickBot="1" x14ac:dyDescent="0.35">
      <c r="C137" s="100" t="str">
        <f>template_label_employee_turnover_rate_in_the_reporting_period</f>
        <v>Employee turnover rate [%]  in the reporting period</v>
      </c>
      <c r="D137" s="991" t="str">
        <f>IF(AND(D134&lt;&gt;"",D135&lt;&gt;"",D136&lt;&gt;""),(D134/((D135+D136)/2)),"-")</f>
        <v>-</v>
      </c>
      <c r="E137" s="991"/>
      <c r="F137" s="991"/>
      <c r="G137" s="991"/>
      <c r="H137" s="992"/>
    </row>
    <row r="138" spans="1:10" ht="15" thickBot="1" x14ac:dyDescent="0.35"/>
    <row r="139" spans="1:10" ht="15" thickBot="1" x14ac:dyDescent="0.35">
      <c r="C139" s="643"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644"/>
      <c r="E139" s="644"/>
      <c r="F139" s="644"/>
      <c r="G139" s="644"/>
      <c r="H139" s="645"/>
    </row>
    <row r="140" spans="1:10" x14ac:dyDescent="0.3">
      <c r="A140" s="441" t="s">
        <v>3757</v>
      </c>
      <c r="B140" s="444" t="s">
        <v>5656</v>
      </c>
      <c r="C140" s="259" t="str">
        <f>template_label_number_of_recordable_work_related_accidents_in_the_reporting_period</f>
        <v>Number of recordable work-related accidents in the reporting period</v>
      </c>
      <c r="D140" s="1012"/>
      <c r="E140" s="1012"/>
      <c r="F140" s="1012"/>
      <c r="G140" s="1012"/>
      <c r="H140" s="1013"/>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14">
        <v>2000</v>
      </c>
      <c r="E141" s="1015"/>
      <c r="F141" s="1015"/>
      <c r="G141" s="1015"/>
      <c r="H141" s="1016"/>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17" t="str">
        <f>IF('General Information'!E328="","-",D141*'General Information'!E328)</f>
        <v>-</v>
      </c>
      <c r="E142" s="1018"/>
      <c r="F142" s="1018"/>
      <c r="G142" s="1018"/>
      <c r="H142" s="1019"/>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20" t="str">
        <f>IFERROR(IF(AND(D140&lt;&gt;"", D142&lt;&gt;""), ($D$140/$D$142)*200000, "-"), "-")</f>
        <v>-</v>
      </c>
      <c r="E143" s="1021"/>
      <c r="F143" s="1021"/>
      <c r="G143" s="1021"/>
      <c r="H143" s="1022"/>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996"/>
      <c r="E144" s="996"/>
      <c r="F144" s="996"/>
      <c r="G144" s="996"/>
      <c r="H144" s="997"/>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spans="1:9" ht="15" thickBot="1" x14ac:dyDescent="0.35"/>
    <row r="146" spans="1:9" x14ac:dyDescent="0.3">
      <c r="C146" s="998"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 to - [Always to be reported + If applicable]</v>
      </c>
      <c r="D146" s="999"/>
      <c r="E146" s="999"/>
      <c r="F146" s="999"/>
      <c r="G146" s="999"/>
      <c r="H146" s="1000"/>
    </row>
    <row r="147" spans="1:9" ht="29.4"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01"/>
      <c r="E147" s="1001"/>
      <c r="F147" s="1001"/>
      <c r="G147" s="1001"/>
      <c r="H147" s="1002"/>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v>
      </c>
      <c r="D148" s="1003"/>
      <c r="E148" s="1004"/>
      <c r="F148" s="1004"/>
      <c r="G148" s="1004"/>
      <c r="H148" s="1005"/>
      <c r="I148" s="15" t="str">
        <f>IF(
    AND('General Information'!$E$328&lt;150, D148=""),
    "",
    IF(
        AND('General Information'!$E$328&lt;150, D148&lt;&gt;""),
        template_label_ok,
        IF(
            AND('General Information'!$E$328&gt;=150, D148&lt;&gt;""),
            template_label_ok,
            template_label_missing_value
        )
    )
)</f>
        <v/>
      </c>
    </row>
    <row r="149" spans="1:9"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v>
      </c>
      <c r="D149" s="1006"/>
      <c r="E149" s="1007"/>
      <c r="F149" s="1007"/>
      <c r="G149" s="1007"/>
      <c r="H149" s="1008"/>
      <c r="I149" s="15" t="str">
        <f>IF(
    AND('General Information'!$E$328&lt;150, D149=""),
    "",
    IF(
        AND('General Information'!$E$328&lt;150, D149&lt;&gt;""),
        template_label_ok,
        IF(
            AND('General Information'!$E$328&gt;=150, D149&lt;&gt;""),
            template_label_ok,
            template_label_missing_value
        )
    )
)</f>
        <v/>
      </c>
    </row>
    <row r="150" spans="1:9" ht="15" thickBot="1" x14ac:dyDescent="0.35">
      <c r="A150" s="451" t="s">
        <v>3760</v>
      </c>
      <c r="B150" s="453" t="s">
        <v>5658</v>
      </c>
      <c r="C150" s="157" t="str">
        <f>template_label_percentage_gap_in_pay_between_the__undertakings_female_and_male_employees</f>
        <v>Percentage gap in pay between the  undertaking's female and male employees [%]</v>
      </c>
      <c r="D150" s="1009" t="str">
        <f>IF(AND(D148&lt;&gt;"",D149&lt;&gt;""),((D148-D149)/D148),"-")</f>
        <v>-</v>
      </c>
      <c r="E150" s="1010"/>
      <c r="F150" s="1010"/>
      <c r="G150" s="1010"/>
      <c r="H150" s="1011"/>
    </row>
    <row r="151" spans="1:9" x14ac:dyDescent="0.3">
      <c r="A151" s="617" t="s">
        <v>3761</v>
      </c>
      <c r="B151" s="970" t="s">
        <v>5659</v>
      </c>
      <c r="C151" s="210" t="str">
        <f>template_label_number_of_employees_covered_by_collective_bargaining_agreements</f>
        <v>Number of employees covered by collective bargaining agreements</v>
      </c>
      <c r="D151" s="1029"/>
      <c r="E151" s="1030"/>
      <c r="F151" s="1030"/>
      <c r="G151" s="1030"/>
      <c r="H151" s="1031"/>
      <c r="I151" s="15" t="str">
        <f>IF(
    AND(
        OR('General Information'!E122="Option A (Basic Module only)", 'General Information'!E122="Option B (Basic Module and Comprehensive Module)"),
        D151=""
    ),
    template_label_missing_value,
    IF('General Information'!E122="", "", template_label_ok)
)</f>
        <v/>
      </c>
    </row>
    <row r="152" spans="1:9" ht="15" thickBot="1" x14ac:dyDescent="0.35">
      <c r="A152" s="1028"/>
      <c r="B152" s="751"/>
      <c r="C152" s="157" t="str">
        <f>template_label_percentage_of_employees_covered_by_collective_bargaining_agreements</f>
        <v>Percentage of employees covered by collective bargaining agreements [%]</v>
      </c>
      <c r="D152" s="1032" t="str">
        <f>IF(D151&lt;&gt;"", IF('General Information'!E328=0, "-", D151/'General Information'!E328), "-")</f>
        <v>-</v>
      </c>
      <c r="E152" s="1033"/>
      <c r="F152" s="1033"/>
      <c r="G152" s="1033"/>
      <c r="H152" s="1034"/>
    </row>
    <row r="153" spans="1:9" ht="15" thickBot="1" x14ac:dyDescent="0.35"/>
    <row r="154" spans="1:9" x14ac:dyDescent="0.3">
      <c r="C154" s="998"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 to - [Always to be reported]</v>
      </c>
      <c r="D154" s="999"/>
      <c r="E154" s="999"/>
      <c r="F154" s="999"/>
      <c r="G154" s="999"/>
      <c r="H154" s="1000"/>
    </row>
    <row r="155" spans="1:9" x14ac:dyDescent="0.3">
      <c r="C155" s="534" t="s">
        <v>3762</v>
      </c>
      <c r="D155" s="535"/>
      <c r="E155" s="535"/>
      <c r="F155" s="535"/>
      <c r="G155" s="535"/>
      <c r="H155" s="536"/>
    </row>
    <row r="156" spans="1:9" x14ac:dyDescent="0.3">
      <c r="C156" s="152" t="str">
        <f>template_label_gender</f>
        <v>Gender</v>
      </c>
      <c r="D156" s="1023" t="str">
        <f>template_label_number_of_annual_training_hours_per_employee_during_the_reporting_period</f>
        <v>B10 – Number of annual training hours per employee during the reporting period</v>
      </c>
      <c r="E156" s="1023"/>
      <c r="F156" s="1023"/>
      <c r="G156" s="1023"/>
      <c r="H156" s="1024"/>
      <c r="I156" s="15"/>
    </row>
    <row r="157" spans="1:9" x14ac:dyDescent="0.3">
      <c r="C157" s="153" t="str">
        <f>template_label_male</f>
        <v>Male</v>
      </c>
      <c r="D157" s="1025"/>
      <c r="E157" s="1025"/>
      <c r="F157" s="1025"/>
      <c r="G157" s="1025"/>
      <c r="H157" s="1026"/>
      <c r="I157" s="1027" t="str">
        <f>IF(
    OR('General Information'!E122="Option A (Basic Module only)", 'General Information'!E122="Option B (Basic Module and Comprehensive Module)"),
    IF(OR(D157&lt;&gt;"", D158&lt;&gt;"", D159&lt;&gt;"", D160&lt;&gt;""), template_label_ok, template_label_missing_value),
    ""
)</f>
        <v/>
      </c>
    </row>
    <row r="158" spans="1:9" x14ac:dyDescent="0.3">
      <c r="C158" s="153" t="str">
        <f>template_label_female</f>
        <v>Female</v>
      </c>
      <c r="D158" s="1025"/>
      <c r="E158" s="1025"/>
      <c r="F158" s="1025"/>
      <c r="G158" s="1025"/>
      <c r="H158" s="1026"/>
      <c r="I158" s="1027"/>
    </row>
    <row r="159" spans="1:9" x14ac:dyDescent="0.3">
      <c r="C159" s="153" t="str">
        <f>template_label_other</f>
        <v>Other</v>
      </c>
      <c r="D159" s="1025"/>
      <c r="E159" s="1025"/>
      <c r="F159" s="1025"/>
      <c r="G159" s="1025"/>
      <c r="H159" s="1026"/>
      <c r="I159" s="1027"/>
    </row>
    <row r="160" spans="1:9" x14ac:dyDescent="0.3">
      <c r="C160" s="153" t="str">
        <f>template_label_not_reported</f>
        <v>Not reported</v>
      </c>
      <c r="D160" s="1025"/>
      <c r="E160" s="1025"/>
      <c r="F160" s="1025"/>
      <c r="G160" s="1025"/>
      <c r="H160" s="1026"/>
      <c r="I160" s="1027"/>
    </row>
    <row r="161" spans="1:9" x14ac:dyDescent="0.3">
      <c r="C161" s="1052" t="str">
        <f>template_label_average_number_of_annual_training_hours_per_employee</f>
        <v>Average number of annual training hours per employee</v>
      </c>
      <c r="D161" s="1053"/>
      <c r="E161" s="1053"/>
      <c r="F161" s="1053"/>
      <c r="G161" s="1053"/>
      <c r="H161" s="1054"/>
      <c r="I161" s="15"/>
    </row>
    <row r="162" spans="1:9" ht="15" thickBot="1" x14ac:dyDescent="0.35">
      <c r="C162" s="1055" t="str">
        <f>IFERROR(
    IF(
        AND(D18&lt;&gt;"",D18&lt;&gt;0,D19&lt;&gt;"",D19&lt;&gt;0,D20&lt;&gt;"",D20&lt;&gt;0,D21&lt;&gt;"",D21&lt;&gt;0),
        AVERAGE(D157:D160),
        IF(OR(D18="", D18=0), AVERAGE(D158:D160),
        IF(OR(D19="", D19=0), AVERAGE(D157,D159,D160),
        IF(OR(D20="", D20=0), AVERAGE(D157,D158,D160),
        IF(OR(D21="", D21=0), AVERAGE(D157,D158,D159), "-"))))
    ),
"-")</f>
        <v>-</v>
      </c>
      <c r="D162" s="1056"/>
      <c r="E162" s="1056"/>
      <c r="F162" s="1056"/>
      <c r="G162" s="1056"/>
      <c r="H162" s="1057"/>
      <c r="I162" s="15"/>
    </row>
    <row r="163" spans="1:9" ht="15" thickBot="1" x14ac:dyDescent="0.35"/>
    <row r="164" spans="1:9" ht="15" thickBot="1" x14ac:dyDescent="0.35">
      <c r="C164" s="1058"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1059"/>
      <c r="E164" s="1059"/>
      <c r="F164" s="1059"/>
      <c r="G164" s="1059"/>
      <c r="H164" s="1060"/>
    </row>
    <row r="165" spans="1:9" x14ac:dyDescent="0.3">
      <c r="A165" s="451">
        <v>59</v>
      </c>
      <c r="B165" s="452" t="s">
        <v>5660</v>
      </c>
      <c r="C165" s="158" t="str">
        <f>template_label_number_of_male_employees_at_management_level</f>
        <v>Number of male employees at management level</v>
      </c>
      <c r="D165" s="1003"/>
      <c r="E165" s="1004"/>
      <c r="F165" s="1004"/>
      <c r="G165" s="1004"/>
      <c r="H165" s="1005"/>
      <c r="I165" s="15" t="str">
        <f>IF(D165&lt;&gt;"", template_label_ok, "")</f>
        <v/>
      </c>
    </row>
    <row r="166" spans="1:9" x14ac:dyDescent="0.3">
      <c r="A166" s="451">
        <v>59</v>
      </c>
      <c r="B166" s="452" t="s">
        <v>5660</v>
      </c>
      <c r="C166" s="159" t="str">
        <f>template_label_number_of_female_employees_at_management_level</f>
        <v>Number of female employees at management level</v>
      </c>
      <c r="D166" s="1006"/>
      <c r="E166" s="1007"/>
      <c r="F166" s="1007"/>
      <c r="G166" s="1007"/>
      <c r="H166" s="1008"/>
      <c r="I166" s="15" t="str">
        <f>IF(D166&lt;&gt;"", template_label_ok, "")</f>
        <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1061" t="str">
        <f>IF(AND(D165&lt;&gt;"",D166&lt;&gt;""),$D$166/$D$165,"-")</f>
        <v>-</v>
      </c>
      <c r="E167" s="1062"/>
      <c r="F167" s="1062"/>
      <c r="G167" s="1062"/>
      <c r="H167" s="1063"/>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1035"/>
      <c r="E168" s="1036"/>
      <c r="F168" s="1036"/>
      <c r="G168" s="1036"/>
      <c r="H168" s="1037"/>
      <c r="I168" s="15" t="str">
        <f>IF(D168&lt;&gt;"", template_label_ok, "")</f>
        <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1038"/>
      <c r="E169" s="1039"/>
      <c r="F169" s="1039"/>
      <c r="G169" s="1039"/>
      <c r="H169" s="1040"/>
      <c r="I169" s="15" t="str">
        <f>IF(D169&lt;&gt;"", template_label_ok, "")</f>
        <v/>
      </c>
    </row>
    <row r="170" spans="1:9" ht="15" thickBot="1" x14ac:dyDescent="0.35"/>
    <row r="171" spans="1:9" x14ac:dyDescent="0.3">
      <c r="C171" s="1041"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1042"/>
      <c r="E171" s="1042"/>
      <c r="F171" s="1042"/>
      <c r="G171" s="1042"/>
      <c r="H171" s="1043"/>
    </row>
    <row r="172" spans="1:9"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1044"/>
      <c r="E172" s="1045"/>
      <c r="F172" s="1045"/>
      <c r="G172" s="1045"/>
      <c r="H172" s="1046"/>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spans="1:9" x14ac:dyDescent="0.3">
      <c r="A173" s="442" t="s">
        <v>3764</v>
      </c>
      <c r="B173" s="449">
        <v>173</v>
      </c>
      <c r="C173" s="126" t="str">
        <f>template_label_if_yes_does_this_cover</f>
        <v>If yes does this cover:</v>
      </c>
      <c r="D173" s="1047"/>
      <c r="E173" s="1048"/>
      <c r="F173" s="1048"/>
      <c r="G173" s="1048"/>
      <c r="H173" s="1049"/>
    </row>
    <row r="174" spans="1:9" x14ac:dyDescent="0.3">
      <c r="A174" s="442" t="s">
        <v>3764</v>
      </c>
      <c r="B174" s="449">
        <v>173</v>
      </c>
      <c r="C174" s="163" t="str">
        <f>template_label_child_labour</f>
        <v>· child labour</v>
      </c>
      <c r="D174" s="1050" t="b">
        <v>0</v>
      </c>
      <c r="E174" s="1050"/>
      <c r="F174" s="1050"/>
      <c r="G174" s="1050"/>
      <c r="H174" s="1051"/>
      <c r="I174" s="1027"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42" t="s">
        <v>3764</v>
      </c>
      <c r="B175" s="449">
        <v>173</v>
      </c>
      <c r="C175" s="163" t="str">
        <f>template_label_forced_labour</f>
        <v>· forced labour</v>
      </c>
      <c r="D175" s="1050" t="b">
        <v>0</v>
      </c>
      <c r="E175" s="1050"/>
      <c r="F175" s="1050"/>
      <c r="G175" s="1050"/>
      <c r="H175" s="1051"/>
      <c r="I175" s="1027"/>
    </row>
    <row r="176" spans="1:9" x14ac:dyDescent="0.3">
      <c r="A176" s="442" t="s">
        <v>3764</v>
      </c>
      <c r="B176" s="449">
        <v>173</v>
      </c>
      <c r="C176" s="163" t="str">
        <f>template_label_human_trafficking</f>
        <v>· human trafficking</v>
      </c>
      <c r="D176" s="1050" t="b">
        <v>0</v>
      </c>
      <c r="E176" s="1050"/>
      <c r="F176" s="1050"/>
      <c r="G176" s="1050"/>
      <c r="H176" s="1051"/>
      <c r="I176" s="1027"/>
    </row>
    <row r="177" spans="1:10" x14ac:dyDescent="0.3">
      <c r="A177" s="442" t="s">
        <v>3764</v>
      </c>
      <c r="B177" s="449">
        <v>173</v>
      </c>
      <c r="C177" s="163" t="str">
        <f>template_label_discrimination</f>
        <v>· discrimination</v>
      </c>
      <c r="D177" s="1050" t="b">
        <v>0</v>
      </c>
      <c r="E177" s="1050"/>
      <c r="F177" s="1050"/>
      <c r="G177" s="1050"/>
      <c r="H177" s="1051"/>
      <c r="I177" s="1027"/>
    </row>
    <row r="178" spans="1:10" x14ac:dyDescent="0.3">
      <c r="A178" s="442" t="s">
        <v>3764</v>
      </c>
      <c r="B178" s="449">
        <v>173</v>
      </c>
      <c r="C178" s="164" t="str">
        <f>template_label_accident_prevention</f>
        <v>· accident prevention</v>
      </c>
      <c r="D178" s="1072" t="b">
        <v>0</v>
      </c>
      <c r="E178" s="1050"/>
      <c r="F178" s="1050"/>
      <c r="G178" s="1050"/>
      <c r="H178" s="1051"/>
      <c r="I178" s="1027"/>
    </row>
    <row r="179" spans="1:10" x14ac:dyDescent="0.3">
      <c r="A179" s="442" t="s">
        <v>3764</v>
      </c>
      <c r="B179" s="449">
        <v>173</v>
      </c>
      <c r="C179" s="165" t="str">
        <f>template_label_other_if_yes_specify</f>
        <v>· other? ( if yes specify)</v>
      </c>
      <c r="D179" s="1050" t="b">
        <v>0</v>
      </c>
      <c r="E179" s="1050"/>
      <c r="F179" s="1050"/>
      <c r="G179" s="1050"/>
      <c r="H179" s="1051"/>
      <c r="I179" s="1027"/>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1064"/>
      <c r="E180" s="1064"/>
      <c r="F180" s="1064"/>
      <c r="G180" s="1064"/>
      <c r="H180" s="1065"/>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1066"/>
      <c r="E181" s="1067"/>
      <c r="F181" s="1067"/>
      <c r="G181" s="1067"/>
      <c r="H181" s="1068"/>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spans="1:10" ht="15" thickBot="1" x14ac:dyDescent="0.35"/>
    <row r="183" spans="1:10" x14ac:dyDescent="0.3">
      <c r="C183" s="1041"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1042"/>
      <c r="E183" s="1042"/>
      <c r="F183" s="1042"/>
      <c r="G183" s="1042"/>
      <c r="H183" s="1043"/>
    </row>
    <row r="184" spans="1:10" x14ac:dyDescent="0.3">
      <c r="A184" s="441">
        <v>62</v>
      </c>
      <c r="B184" s="449">
        <v>174</v>
      </c>
      <c r="C184" s="167" t="str">
        <f>template_label_does_the_undertaking_have_confirmed_incidents_in_its_own_workforce</f>
        <v>Does the undertaking have confirmed incidents in its own workforce?</v>
      </c>
      <c r="D184" s="687"/>
      <c r="E184" s="687"/>
      <c r="F184" s="687"/>
      <c r="G184" s="687"/>
      <c r="H184" s="1069"/>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spans="1:10" x14ac:dyDescent="0.3">
      <c r="A185" s="441" t="s">
        <v>3766</v>
      </c>
      <c r="B185" s="449">
        <v>174</v>
      </c>
      <c r="C185" s="167" t="str">
        <f>template_label_if_yes_are_incidents_related_to</f>
        <v>If yes are incidents related to:</v>
      </c>
      <c r="D185" s="1047"/>
      <c r="E185" s="1048"/>
      <c r="F185" s="1048"/>
      <c r="G185" s="1048"/>
      <c r="H185" s="1049"/>
    </row>
    <row r="186" spans="1:10" x14ac:dyDescent="0.3">
      <c r="A186" s="441" t="s">
        <v>3766</v>
      </c>
      <c r="B186" s="449">
        <v>174</v>
      </c>
      <c r="C186" s="165" t="str">
        <f>template_label_child_labour</f>
        <v>· child labour</v>
      </c>
      <c r="D186" s="1070" t="b">
        <v>0</v>
      </c>
      <c r="E186" s="1070"/>
      <c r="F186" s="1070"/>
      <c r="G186" s="1070"/>
      <c r="H186" s="1071"/>
      <c r="I186" s="1027"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1070" t="b">
        <v>0</v>
      </c>
      <c r="E187" s="1070"/>
      <c r="F187" s="1070"/>
      <c r="G187" s="1070"/>
      <c r="H187" s="1071"/>
      <c r="I187" s="1027"/>
    </row>
    <row r="188" spans="1:10" x14ac:dyDescent="0.3">
      <c r="A188" s="441" t="s">
        <v>3766</v>
      </c>
      <c r="B188" s="449">
        <v>174</v>
      </c>
      <c r="C188" s="165" t="str">
        <f>template_label_human_trafficking</f>
        <v>· human trafficking</v>
      </c>
      <c r="D188" s="1070" t="b">
        <v>0</v>
      </c>
      <c r="E188" s="1070"/>
      <c r="F188" s="1070"/>
      <c r="G188" s="1070"/>
      <c r="H188" s="1071"/>
      <c r="I188" s="1027"/>
    </row>
    <row r="189" spans="1:10" x14ac:dyDescent="0.3">
      <c r="A189" s="441" t="s">
        <v>3766</v>
      </c>
      <c r="B189" s="449">
        <v>174</v>
      </c>
      <c r="C189" s="165" t="str">
        <f>template_label_discrimination</f>
        <v>· discrimination</v>
      </c>
      <c r="D189" s="1070" t="b">
        <v>0</v>
      </c>
      <c r="E189" s="1070"/>
      <c r="F189" s="1070"/>
      <c r="G189" s="1070"/>
      <c r="H189" s="1071"/>
      <c r="I189" s="1027"/>
    </row>
    <row r="190" spans="1:10" x14ac:dyDescent="0.3">
      <c r="A190" s="441" t="s">
        <v>3766</v>
      </c>
      <c r="B190" s="449">
        <v>174</v>
      </c>
      <c r="C190" s="165" t="str">
        <f>template_label_other_if_yes_specify</f>
        <v>· other? ( if yes specify)</v>
      </c>
      <c r="D190" s="1070" t="b">
        <v>0</v>
      </c>
      <c r="E190" s="1070"/>
      <c r="F190" s="1070"/>
      <c r="G190" s="1070"/>
      <c r="H190" s="1071"/>
      <c r="I190" s="1027"/>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1079"/>
      <c r="E191" s="1079"/>
      <c r="F191" s="1079"/>
      <c r="G191" s="1079"/>
      <c r="H191" s="1080"/>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1073"/>
      <c r="E192" s="1074"/>
      <c r="F192" s="1074"/>
      <c r="G192" s="1074"/>
      <c r="H192" s="1075"/>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687"/>
      <c r="E193" s="687"/>
      <c r="F193" s="687"/>
      <c r="G193" s="687"/>
      <c r="H193" s="1069"/>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1076"/>
      <c r="E194" s="1076"/>
      <c r="F194" s="1076"/>
      <c r="G194" s="1076"/>
      <c r="H194" s="1077"/>
      <c r="I194" s="15" t="str">
        <f>IF(AND(D193="YES",D194&lt;&gt;""), template_label_ok,
IF(AND(D193="YES",D194=""), template_label_missing_value,
IF(AND(D193="NO",D194&lt;&gt;""), template_label_missing_value, "")))</f>
        <v/>
      </c>
    </row>
    <row r="197" spans="1:9" ht="15" thickBot="1" x14ac:dyDescent="0.35"/>
    <row r="198" spans="1:9" x14ac:dyDescent="0.3">
      <c r="C198" s="558"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559"/>
      <c r="E198" s="559"/>
      <c r="F198" s="559"/>
      <c r="G198" s="559"/>
      <c r="H198" s="560"/>
    </row>
    <row r="199" spans="1:9" x14ac:dyDescent="0.3">
      <c r="C199" s="755">
        <v>10</v>
      </c>
      <c r="D199" s="556"/>
      <c r="E199" s="556"/>
      <c r="F199" s="556"/>
      <c r="G199" s="556"/>
      <c r="H199" s="557"/>
    </row>
    <row r="200" spans="1:9" ht="15" thickBot="1" x14ac:dyDescent="0.35">
      <c r="C200" s="552"/>
      <c r="D200" s="553"/>
      <c r="E200" s="553"/>
      <c r="F200" s="553"/>
      <c r="G200" s="553"/>
      <c r="H200" s="1078"/>
      <c r="I200" s="15" t="str">
        <f>IF(C200&lt;&gt;"", template_label_ok, "")</f>
        <v/>
      </c>
    </row>
  </sheetData>
  <sheetProtection algorithmName="SHA-512" hashValue="1pNTooGl1m7mIznmqtAxPUHGHiVwarnfLS7CLkzH5Sx3Fpai3nDef5qqZyctzcci/0JILv/4lXyo4mSXBx6V0Q==" saltValue="sh92SqmCnSnkLBaQZTuY0A==" spinCount="100000" sheet="1" formatColumns="0" formatRows="0" insertRows="0"/>
  <mergeCells count="298">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604"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605"/>
      <c r="E2" s="605"/>
      <c r="F2" s="605"/>
      <c r="G2" s="605"/>
      <c r="H2" s="606"/>
    </row>
    <row r="3" spans="1:9" x14ac:dyDescent="0.3">
      <c r="A3" s="10"/>
      <c r="B3" s="10"/>
      <c r="C3" s="1110">
        <v>43</v>
      </c>
      <c r="D3" s="1111"/>
      <c r="E3" s="1111"/>
      <c r="F3" s="1111"/>
      <c r="G3" s="1111"/>
      <c r="H3" s="1112"/>
    </row>
    <row r="4" spans="1:9" x14ac:dyDescent="0.3">
      <c r="A4" s="10"/>
      <c r="B4" s="10"/>
      <c r="C4" s="1113" t="s">
        <v>5662</v>
      </c>
      <c r="D4" s="1081"/>
      <c r="E4" s="1081"/>
      <c r="F4" s="1081"/>
      <c r="G4" s="1081"/>
      <c r="H4" s="1114"/>
    </row>
    <row r="5" spans="1:9" s="10" customFormat="1" x14ac:dyDescent="0.3">
      <c r="C5" s="1089" t="str">
        <f>template_label_has_the_undertaking_incurred_in_convictions_and_fines_in_the_reporting_period</f>
        <v>Has the undertaking incurred in convictions and fines in the reporting period?</v>
      </c>
      <c r="D5" s="1090"/>
      <c r="E5" s="1090"/>
      <c r="F5" s="1090"/>
      <c r="G5" s="1090"/>
      <c r="H5" s="168" t="b">
        <v>0</v>
      </c>
      <c r="I5" s="15"/>
    </row>
    <row r="6" spans="1:9" s="10" customFormat="1" ht="21.6" customHeight="1" x14ac:dyDescent="0.3">
      <c r="C6" s="1133" t="str">
        <f>template_label_total_number_of_convictions_for_the_violation_of_anti_corruption_and_anti_bribery_laws</f>
        <v>Total number of convictions  for the violation of anti-corruption and anti-bribery laws</v>
      </c>
      <c r="D6" s="1134"/>
      <c r="E6" s="1134"/>
      <c r="F6" s="1134"/>
      <c r="G6" s="1135"/>
      <c r="H6" s="289"/>
      <c r="I6" s="15" t="str">
        <f>IF(AND($H$5=TRUE,H6&lt;&gt;""), template_label_ok,
IF(AND($H$5=TRUE,H6=""), template_label_missing_value, ""))</f>
        <v/>
      </c>
    </row>
    <row r="7" spans="1:9" s="10" customFormat="1" ht="15" thickBot="1" x14ac:dyDescent="0.35">
      <c r="C7" s="1136"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37"/>
      <c r="E7" s="1137"/>
      <c r="F7" s="1137"/>
      <c r="G7" s="1138"/>
      <c r="H7" s="290"/>
      <c r="I7" s="15" t="str">
        <f>IF(AND($H$5=TRUE,H7&lt;&gt;""), template_label_ok,
IF(AND($H$5=TRUE,H7=""), template_label_missing_value, ""))</f>
        <v/>
      </c>
    </row>
    <row r="8" spans="1:9" s="10" customFormat="1" ht="15" thickBot="1" x14ac:dyDescent="0.35">
      <c r="I8" s="15"/>
    </row>
    <row r="9" spans="1:9" s="10" customFormat="1" x14ac:dyDescent="0.3">
      <c r="C9" s="899"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105"/>
      <c r="E9" s="1105"/>
      <c r="F9" s="1105"/>
      <c r="G9" s="1105"/>
      <c r="H9" s="1106"/>
      <c r="I9" s="15"/>
    </row>
    <row r="10" spans="1:9" ht="28.2" customHeight="1" x14ac:dyDescent="0.3">
      <c r="A10" s="10"/>
      <c r="B10" s="10"/>
      <c r="C10" s="1089" t="str">
        <f>template_label_is_the_undertaking_deriving_revenues_from_one_of_the_activities_listed_below</f>
        <v>Is the undertaking deriving revenues from one of the activities listed below?</v>
      </c>
      <c r="D10" s="1090"/>
      <c r="E10" s="1090"/>
      <c r="F10" s="1090"/>
      <c r="G10" s="1090"/>
      <c r="H10" s="169" t="b">
        <v>0</v>
      </c>
    </row>
    <row r="11" spans="1:9" x14ac:dyDescent="0.3">
      <c r="A11" s="10"/>
      <c r="B11" s="10"/>
      <c r="C11" s="1119"/>
      <c r="D11" s="1120"/>
      <c r="E11" s="1120"/>
      <c r="F11" s="1120"/>
      <c r="G11" s="1120"/>
      <c r="H11" s="53" t="str">
        <f>template_label_monetary_amount_in &amp; " " &amp; template_currency</f>
        <v xml:space="preserve">Monetary amount in </v>
      </c>
    </row>
    <row r="12" spans="1:9" s="10" customFormat="1" ht="32.4" customHeight="1" x14ac:dyDescent="0.3">
      <c r="A12" s="443" t="s">
        <v>3768</v>
      </c>
      <c r="B12" s="446" t="s">
        <v>5664</v>
      </c>
      <c r="C12" s="630" t="str">
        <f>template_label_revenue_derived_from_controversial_weapons</f>
        <v>Revenue derived from controversial weapons (anti-personnel mines cluster munitions chemical weapons and biological weapons)</v>
      </c>
      <c r="D12" s="631"/>
      <c r="E12" s="631"/>
      <c r="F12" s="631"/>
      <c r="G12" s="631"/>
      <c r="H12" s="285"/>
      <c r="I12" s="1093"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708" t="str">
        <f>template_label_revenue_derived_from_cultivation_and_production_of_tobacco</f>
        <v>Revenue derived from cultivation and production of tobacco</v>
      </c>
      <c r="D13" s="850"/>
      <c r="E13" s="850"/>
      <c r="F13" s="850"/>
      <c r="G13" s="850"/>
      <c r="H13" s="286"/>
      <c r="I13" s="1093"/>
    </row>
    <row r="14" spans="1:9" s="10" customFormat="1" x14ac:dyDescent="0.3">
      <c r="A14" s="454" t="s">
        <v>3770</v>
      </c>
      <c r="B14" s="446" t="s">
        <v>5664</v>
      </c>
      <c r="C14" s="1094" t="str">
        <f>template_label_revenue_derived_from_coal</f>
        <v>Revenue derived from coal</v>
      </c>
      <c r="D14" s="1095"/>
      <c r="E14" s="1095"/>
      <c r="F14" s="1095"/>
      <c r="G14" s="1095"/>
      <c r="H14" s="287"/>
      <c r="I14" s="1093"/>
    </row>
    <row r="15" spans="1:9" s="10" customFormat="1" x14ac:dyDescent="0.3">
      <c r="A15" s="454" t="s">
        <v>3770</v>
      </c>
      <c r="B15" s="446" t="s">
        <v>5664</v>
      </c>
      <c r="C15" s="630" t="str">
        <f>template_label_revenue_derived_from_oil</f>
        <v>Revenue derived from oil</v>
      </c>
      <c r="D15" s="631"/>
      <c r="E15" s="631"/>
      <c r="F15" s="631"/>
      <c r="G15" s="631"/>
      <c r="H15" s="285"/>
      <c r="I15" s="1093"/>
    </row>
    <row r="16" spans="1:9" s="10" customFormat="1" x14ac:dyDescent="0.3">
      <c r="A16" s="454" t="s">
        <v>3770</v>
      </c>
      <c r="B16" s="446" t="s">
        <v>5664</v>
      </c>
      <c r="C16" s="630" t="str">
        <f>template_label_revenue_derived_from_gas</f>
        <v>Revenue derived from gas</v>
      </c>
      <c r="D16" s="631"/>
      <c r="E16" s="631"/>
      <c r="F16" s="631"/>
      <c r="G16" s="631"/>
      <c r="H16" s="285"/>
      <c r="I16" s="1093"/>
    </row>
    <row r="17" spans="1:9" s="10" customFormat="1" ht="60.6" customHeight="1" thickBot="1" x14ac:dyDescent="0.35">
      <c r="A17" s="454" t="s">
        <v>3770</v>
      </c>
      <c r="B17" s="446" t="s">
        <v>5664</v>
      </c>
      <c r="C17" s="1091"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92"/>
      <c r="E17" s="1092"/>
      <c r="F17" s="1092"/>
      <c r="G17" s="1092"/>
      <c r="H17" s="281" t="str">
        <f>IF(COUNTA(H14:H16)=0, "-", SUM(H14:H16))</f>
        <v>-</v>
      </c>
      <c r="I17" s="1093"/>
    </row>
    <row r="18" spans="1:9" s="10" customFormat="1" ht="15" thickBot="1" x14ac:dyDescent="0.35">
      <c r="A18" s="443" t="s">
        <v>3771</v>
      </c>
      <c r="B18" s="446" t="s">
        <v>5664</v>
      </c>
      <c r="C18" s="710" t="str">
        <f>template_label_revenue_derived_from_chemicals_production</f>
        <v>Revenue derived from chemicals production</v>
      </c>
      <c r="D18" s="1118"/>
      <c r="E18" s="1118"/>
      <c r="F18" s="1118"/>
      <c r="G18" s="1118"/>
      <c r="H18" s="288"/>
      <c r="I18" s="1093"/>
    </row>
    <row r="19" spans="1:9" s="10" customFormat="1" ht="15" thickBot="1" x14ac:dyDescent="0.35">
      <c r="I19" s="15"/>
    </row>
    <row r="20" spans="1:9" s="10" customFormat="1" x14ac:dyDescent="0.3">
      <c r="C20" s="899"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105"/>
      <c r="E20" s="1105"/>
      <c r="F20" s="1105"/>
      <c r="G20" s="1105"/>
      <c r="H20" s="1106"/>
      <c r="I20" s="15"/>
    </row>
    <row r="21" spans="1:9" s="10" customFormat="1" x14ac:dyDescent="0.3">
      <c r="B21" s="401"/>
      <c r="C21" s="1115" t="str">
        <f>template_label_undertakings_are_excluded_from_the_eu_paris_aligned_benchmarks_if_they_derive</f>
        <v>Undertakings are excluded from the EU Paris-aligned Benchmarks if they  derive:</v>
      </c>
      <c r="D21" s="1116"/>
      <c r="E21" s="1116"/>
      <c r="F21" s="1116"/>
      <c r="G21" s="1116"/>
      <c r="H21" s="1117"/>
      <c r="I21" s="15"/>
    </row>
    <row r="22" spans="1:9" s="10" customFormat="1" ht="30" customHeight="1" x14ac:dyDescent="0.3">
      <c r="A22" s="443">
        <v>64</v>
      </c>
      <c r="B22" s="446" t="s">
        <v>5663</v>
      </c>
      <c r="C22" s="1121" t="str">
        <f>template_label_1_percent_or_more_of_their_revenues_from_exploration_mining_extraction_distribution_or_refining_of_hard_coal_and_lignite</f>
        <v>1% or more of their revenues from exploration mining extraction distribution or refining of hard coal and lignite</v>
      </c>
      <c r="D22" s="1122"/>
      <c r="E22" s="1122"/>
      <c r="F22" s="1122"/>
      <c r="G22" s="1123"/>
      <c r="H22" s="170" t="b">
        <v>0</v>
      </c>
      <c r="I22" s="1027"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spans="1:9" s="10" customFormat="1" x14ac:dyDescent="0.3">
      <c r="A23" s="443">
        <v>64</v>
      </c>
      <c r="B23" s="446" t="s">
        <v>5665</v>
      </c>
      <c r="C23" s="1124" t="str">
        <f>template_label_10_percent_or_more_of_their_revenues_from_the_exploration_extraction_distribution_or_refining_of_oil_fuels</f>
        <v>10% or more of their revenues from the exploration extraction distribution or refining of oil fuels</v>
      </c>
      <c r="D23" s="1125"/>
      <c r="E23" s="1125"/>
      <c r="F23" s="1125"/>
      <c r="G23" s="1126"/>
      <c r="H23" s="171" t="b">
        <v>0</v>
      </c>
      <c r="I23" s="1027"/>
    </row>
    <row r="24" spans="1:9" s="10" customFormat="1" ht="32.4" customHeight="1" x14ac:dyDescent="0.3">
      <c r="A24" s="443">
        <v>64</v>
      </c>
      <c r="B24" s="446" t="s">
        <v>5666</v>
      </c>
      <c r="C24" s="1127" t="str">
        <f>template_label_50_percent_or_more_of_their_revenues_from_the_exploration_extraction_manufacturing_or_distribution_of_gaseous_fuels</f>
        <v>50% or more of their revenues from the exploration extraction manufacturing or distribution of gaseous fuels</v>
      </c>
      <c r="D24" s="1128"/>
      <c r="E24" s="1128"/>
      <c r="F24" s="1128"/>
      <c r="G24" s="1129"/>
      <c r="H24" s="171" t="b">
        <v>0</v>
      </c>
      <c r="I24" s="1027"/>
    </row>
    <row r="25" spans="1:9" s="10" customFormat="1" ht="31.2" customHeight="1" thickBot="1" x14ac:dyDescent="0.35">
      <c r="A25" s="443">
        <v>64</v>
      </c>
      <c r="B25" s="446" t="s">
        <v>5667</v>
      </c>
      <c r="C25" s="1130" t="str">
        <f>template_label_50_percent_or_more_of_their_revenues_from_electricity_generation</f>
        <v>50% or more of their revenues from electricity generation with a GHG intensity of more than 100g CO2 e kWh</v>
      </c>
      <c r="D25" s="1131"/>
      <c r="E25" s="1131"/>
      <c r="F25" s="1131"/>
      <c r="G25" s="1132"/>
      <c r="H25" s="172" t="b">
        <v>0</v>
      </c>
      <c r="I25" s="1027"/>
    </row>
    <row r="26" spans="1:9" s="10" customFormat="1" ht="15" thickBot="1" x14ac:dyDescent="0.35">
      <c r="C26" s="1099" t="str">
        <f>template_label_none_of_the_above</f>
        <v>None of the above</v>
      </c>
      <c r="D26" s="1100"/>
      <c r="E26" s="1100"/>
      <c r="F26" s="1100"/>
      <c r="G26" s="1101"/>
      <c r="H26" s="173" t="b">
        <v>0</v>
      </c>
      <c r="I26" s="1027"/>
    </row>
    <row r="27" spans="1:9" s="10" customFormat="1" ht="15" thickBot="1" x14ac:dyDescent="0.35">
      <c r="A27" s="443">
        <v>64</v>
      </c>
      <c r="B27" s="446">
        <v>177</v>
      </c>
      <c r="C27" s="1102" t="str">
        <f>template_label_undertakings_are_excluded_from_any_eu_reference_benchmarks_that_are_aligned_with_the_paris_agreement</f>
        <v>Undertakings are excluded from any EU reference benchmarks that are aligned with the Paris Agreement</v>
      </c>
      <c r="D27" s="1103"/>
      <c r="E27" s="1103"/>
      <c r="F27" s="1103"/>
      <c r="G27" s="1104"/>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107" t="str">
        <f>template_label_c9_gender_diversity_ratio_in_the_governance_body&amp;" "&amp;template_label_at&amp;" "&amp;template_ending_date_display&amp;" "&amp;template_label_if_applicable</f>
        <v>C9 – Gender diversity ratio in the governance body at - [If applicable]</v>
      </c>
      <c r="D29" s="1108"/>
      <c r="E29" s="1108"/>
      <c r="F29" s="1108"/>
      <c r="G29" s="1108"/>
      <c r="H29" s="1109"/>
      <c r="I29" s="15"/>
    </row>
    <row r="30" spans="1:9" s="10" customFormat="1" x14ac:dyDescent="0.3">
      <c r="C30" s="1089" t="str">
        <f>template_label_does_the_undertaking_have_a_governance_body_in_place</f>
        <v>Does the undertaking have a governance body in place?</v>
      </c>
      <c r="D30" s="1090"/>
      <c r="E30" s="1090"/>
      <c r="F30" s="1090"/>
      <c r="G30" s="1090"/>
      <c r="H30" s="169" t="b">
        <v>0</v>
      </c>
      <c r="I30" s="15"/>
    </row>
    <row r="31" spans="1:9" s="10" customFormat="1" x14ac:dyDescent="0.3">
      <c r="A31" s="1081">
        <v>65</v>
      </c>
      <c r="B31" s="1084" t="s">
        <v>5668</v>
      </c>
      <c r="C31" s="1089" t="str">
        <f>template_label_number_of_female_board_members_at_the_end_of_the_reporting_period</f>
        <v>Number of female board members at the end of the reporting period</v>
      </c>
      <c r="D31" s="1090"/>
      <c r="E31" s="1090"/>
      <c r="F31" s="1090"/>
      <c r="G31" s="1090"/>
      <c r="H31" s="285"/>
      <c r="I31" s="15" t="str">
        <f>IF(AND($H$30=TRUE, H31&lt;&gt;""), template_label_ok, IF(AND($H$30=TRUE, H31=""), template_label_missing_value, ""))</f>
        <v/>
      </c>
    </row>
    <row r="32" spans="1:9" s="10" customFormat="1" x14ac:dyDescent="0.3">
      <c r="A32" s="1082"/>
      <c r="B32" s="1085"/>
      <c r="C32" s="1089" t="str">
        <f>template_label_number_of_male_board_members_at_the_end_of_the_reporting_period</f>
        <v>Number of male board members at the end of the reporting period</v>
      </c>
      <c r="D32" s="1090"/>
      <c r="E32" s="1090"/>
      <c r="F32" s="1090"/>
      <c r="G32" s="1090"/>
      <c r="H32" s="285"/>
      <c r="I32" s="15" t="str">
        <f>IF(AND($H$30=TRUE, H32&lt;&gt;""), template_label_ok, IF(AND($H$30=TRUE, H32=""), template_label_missing_value, ""))</f>
        <v/>
      </c>
    </row>
    <row r="33" spans="1:9" s="10" customFormat="1" ht="15" thickBot="1" x14ac:dyDescent="0.35">
      <c r="A33" s="1083"/>
      <c r="B33" s="1086"/>
      <c r="C33" s="1087" t="str">
        <f>template_label_gender_diversity_ratio_in_governance_body</f>
        <v>Gender diversity ratio in governance body</v>
      </c>
      <c r="D33" s="1088"/>
      <c r="E33" s="1088"/>
      <c r="F33" s="1088"/>
      <c r="G33" s="1088"/>
      <c r="H33" s="281" t="str">
        <f>IF(AND(H31&lt;&gt;"",H32&lt;&gt;""),IF(OR(H31=0,H32=0),0,H31/H32),"-")</f>
        <v>-</v>
      </c>
      <c r="I33" s="15"/>
    </row>
    <row r="34" spans="1:9" s="10" customFormat="1" x14ac:dyDescent="0.3">
      <c r="I34" s="15"/>
    </row>
    <row r="35" spans="1:9" s="10" customFormat="1" x14ac:dyDescent="0.3">
      <c r="I35" s="15"/>
    </row>
    <row r="36" spans="1:9" s="10" customFormat="1" x14ac:dyDescent="0.3">
      <c r="C36" s="558"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559"/>
      <c r="E36" s="559"/>
      <c r="F36" s="559"/>
      <c r="G36" s="559"/>
      <c r="H36" s="560"/>
      <c r="I36" s="15"/>
    </row>
    <row r="37" spans="1:9" s="10" customFormat="1" x14ac:dyDescent="0.3">
      <c r="C37" s="1096">
        <v>10</v>
      </c>
      <c r="D37" s="1097"/>
      <c r="E37" s="1097"/>
      <c r="F37" s="1097"/>
      <c r="G37" s="1097"/>
      <c r="H37" s="1098"/>
      <c r="I37" s="15"/>
    </row>
    <row r="38" spans="1:9" s="10" customFormat="1" ht="15" thickBot="1" x14ac:dyDescent="0.35">
      <c r="C38" s="552"/>
      <c r="D38" s="553"/>
      <c r="E38" s="553"/>
      <c r="F38" s="553"/>
      <c r="G38" s="553"/>
      <c r="H38" s="1078"/>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customWidth="1"/>
    <col min="15" max="15" width="24.33203125" style="10" customWidth="1"/>
    <col min="16" max="16" width="24.5546875" style="10" customWidth="1"/>
    <col min="17" max="17" width="25" style="10" customWidth="1"/>
    <col min="18" max="18" width="62.33203125" style="10" customWidth="1"/>
    <col min="19" max="19" width="22.6640625" style="10" customWidth="1"/>
    <col min="20" max="20" width="24.5546875" style="10" customWidth="1"/>
    <col min="21" max="21" width="25" style="10" customWidth="1"/>
    <col min="22" max="22" width="34.5546875" style="10" customWidth="1"/>
    <col min="23" max="23" width="23.5546875" style="10" customWidth="1"/>
    <col min="24" max="24" width="24.5546875" style="10" customWidth="1"/>
    <col min="25" max="25" width="25" style="10" customWidth="1"/>
    <col min="26" max="26" width="33.5546875" style="10" customWidth="1"/>
    <col min="27" max="27" width="30.5546875" style="10" customWidth="1"/>
    <col min="28" max="28" width="41.33203125" style="10" customWidth="1"/>
    <col min="29" max="29" width="25" style="10" customWidth="1"/>
    <col min="30" max="30" width="46.44140625" style="10" customWidth="1"/>
    <col min="31" max="31" width="27" style="10" customWidth="1"/>
    <col min="32" max="32" width="33.88671875" style="10" customWidth="1"/>
    <col min="33" max="33" width="25" style="10" customWidth="1"/>
    <col min="34" max="34" width="42" style="10" customWidth="1"/>
    <col min="35" max="35" width="29.6640625" style="10" customWidth="1"/>
    <col min="36" max="36" width="31.33203125" style="10" customWidth="1"/>
    <col min="37" max="37" width="25" style="10" customWidth="1"/>
    <col min="38" max="38" width="39.6640625" customWidth="1"/>
    <col min="39" max="39" width="26" style="10" customWidth="1"/>
    <col min="40" max="40" width="24.5546875" customWidth="1"/>
    <col min="41" max="41" width="25" customWidth="1"/>
    <col min="42" max="42" width="42.44140625" customWidth="1"/>
    <col min="43" max="43" width="29.88671875" style="10" customWidth="1"/>
    <col min="44" max="44" width="38.6640625" style="10" customWidth="1"/>
    <col min="45" max="45" width="25" style="10" customWidth="1"/>
    <col min="46" max="46" width="45.6640625" style="10" customWidth="1"/>
    <col min="47" max="47" width="32.5546875" style="10" customWidth="1"/>
    <col min="48" max="48" width="38.44140625" style="10" customWidth="1"/>
    <col min="49" max="49" width="24.6640625" style="10" customWidth="1"/>
    <col min="50" max="50" width="50.109375" style="10" customWidth="1"/>
    <col min="51" max="51" width="28.109375" style="10" customWidth="1"/>
    <col min="52" max="52" width="34.6640625" style="10" customWidth="1"/>
    <col min="53" max="53" width="21.44140625" style="10" customWidth="1"/>
    <col min="54" max="54" width="9.33203125" style="10"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39"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39"/>
      <c r="C3" s="1139"/>
      <c r="D3" s="1139"/>
      <c r="E3" s="1139"/>
      <c r="F3" s="1139"/>
      <c r="G3" s="1139"/>
      <c r="H3" s="1139"/>
      <c r="I3" s="1139"/>
      <c r="J3" s="1139"/>
      <c r="K3" s="1139"/>
      <c r="AL3" s="10"/>
      <c r="AN3" s="10"/>
      <c r="AO3" s="10"/>
      <c r="AP3" s="10"/>
    </row>
    <row r="4" spans="1:53" ht="44.55" customHeight="1" x14ac:dyDescent="0.4">
      <c r="A4" s="1139"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39"/>
      <c r="C4" s="1139"/>
      <c r="D4" s="1139"/>
      <c r="E4" s="1139"/>
      <c r="F4" s="1139"/>
      <c r="G4" s="1139"/>
      <c r="H4" s="1139"/>
      <c r="I4" s="1139"/>
      <c r="J4" s="1139"/>
      <c r="K4" s="1139"/>
      <c r="AL4" s="10"/>
      <c r="AN4" s="10"/>
      <c r="AO4" s="10"/>
      <c r="AP4" s="10"/>
    </row>
    <row r="5" spans="1:53" ht="48.45" customHeight="1" thickBot="1" x14ac:dyDescent="0.45">
      <c r="A5" s="1139"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39"/>
      <c r="C5" s="1139"/>
      <c r="D5" s="1139"/>
      <c r="E5" s="1139"/>
      <c r="F5" s="1139"/>
      <c r="G5" s="1139"/>
      <c r="H5" s="1139"/>
      <c r="I5" s="1139"/>
      <c r="J5" s="1139"/>
      <c r="K5" s="1139"/>
      <c r="AL5" s="10"/>
      <c r="AN5" s="10"/>
      <c r="AO5" s="10"/>
      <c r="AP5" s="10"/>
    </row>
    <row r="6" spans="1:53" ht="35.4" customHeight="1" thickBot="1" x14ac:dyDescent="0.35">
      <c r="A6" s="398"/>
      <c r="B6" s="1158" t="str">
        <f>template_label_indicates_that_the_cell_should_be_filled_either_by_selecting_a_value_from_the_dropdown</f>
        <v>Indicates that the cell should be filled either by selecting a value from the dropdown (e.g. Type of fuel or Unit of Measurement) or by entering an amount.</v>
      </c>
      <c r="C6" s="1159"/>
      <c r="D6" s="1159"/>
      <c r="E6" s="1159"/>
      <c r="F6" s="1160"/>
      <c r="G6" s="399"/>
      <c r="H6" s="397"/>
      <c r="I6" s="397"/>
      <c r="J6" s="397"/>
      <c r="AL6" s="10"/>
      <c r="AN6" s="10"/>
      <c r="AO6" s="10"/>
      <c r="AP6" s="10"/>
    </row>
    <row r="7" spans="1:53" ht="44.4" customHeight="1" thickBot="1" x14ac:dyDescent="0.35">
      <c r="A7" s="400" t="s">
        <v>3539</v>
      </c>
      <c r="B7" s="1158" t="str">
        <f>template_label_indicates_that_the_cell_is_automatically_calculated_and_that_no_data_entry_is_required</f>
        <v>Indicates that the cell is automatically calculated and that no data entry is required.</v>
      </c>
      <c r="C7" s="1159"/>
      <c r="D7" s="1159"/>
      <c r="E7" s="1159"/>
      <c r="F7" s="1160"/>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3"/>
      <c r="B19" s="503"/>
      <c r="C19" s="504"/>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46" t="str">
        <f>template_label_transfer_the_total_results_to_the_b3_fuel_energy_consumption_reporting_cell</f>
        <v>Transfer the total calculated results to the B3 "Fuel Energy Consumption" reporting cell</v>
      </c>
      <c r="B23" s="1147"/>
      <c r="C23" s="1148"/>
      <c r="D23" s="1152" t="b">
        <v>0</v>
      </c>
      <c r="E23" s="1153"/>
      <c r="F23" s="1154"/>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49"/>
      <c r="B24" s="1150"/>
      <c r="C24" s="1151"/>
      <c r="D24" s="1155"/>
      <c r="E24" s="1156"/>
      <c r="F24" s="1157"/>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42" t="str">
        <f>template_label_total_energy</f>
        <v>Total Energy [MWh]</v>
      </c>
      <c r="B28" s="1143"/>
      <c r="AL28" s="10"/>
      <c r="AN28" s="10"/>
      <c r="AO28" s="10"/>
      <c r="AP28" s="10"/>
    </row>
    <row r="29" spans="1:53" ht="15" thickBot="1" x14ac:dyDescent="0.35">
      <c r="A29" s="1144" t="str">
        <f>IFERROR(A32+B32, "-")</f>
        <v>-</v>
      </c>
      <c r="B29" s="1145"/>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950"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50"/>
      <c r="AL37" s="10"/>
      <c r="AN37" s="10"/>
      <c r="AO37" s="10"/>
      <c r="AP37" s="10"/>
    </row>
    <row r="38" spans="1:42" x14ac:dyDescent="0.3">
      <c r="A38" s="10"/>
      <c r="B38" s="10"/>
      <c r="AL38" s="10"/>
      <c r="AN38" s="10"/>
      <c r="AO38" s="10"/>
      <c r="AP38" s="10"/>
    </row>
    <row r="39" spans="1:42" x14ac:dyDescent="0.3">
      <c r="A39" s="1140" t="str">
        <f>template_label_energy_consumption_per_hour_in_mwh_for_solid_fuels</f>
        <v>Energy Consumption per Hour in MWh for Solid Fuels:</v>
      </c>
      <c r="B39" s="1140"/>
      <c r="AL39" s="10"/>
      <c r="AN39" s="10"/>
      <c r="AO39" s="10"/>
      <c r="AP39" s="10"/>
    </row>
    <row r="40" spans="1:42" ht="18" x14ac:dyDescent="0.35">
      <c r="A40" s="1141" t="str">
        <f>template_label_energy_solid_fuels</f>
        <v>Energy [MWh] = Mass [t] * NCV [MWh/t]</v>
      </c>
      <c r="B40" s="1141"/>
      <c r="AL40" s="10"/>
      <c r="AN40" s="10"/>
      <c r="AO40" s="10"/>
      <c r="AP40" s="10"/>
    </row>
    <row r="41" spans="1:42" x14ac:dyDescent="0.3">
      <c r="A41" s="1140"/>
      <c r="B41" s="1140"/>
      <c r="AL41" s="10"/>
      <c r="AN41" s="10"/>
      <c r="AO41" s="10"/>
      <c r="AP41" s="10"/>
    </row>
    <row r="42" spans="1:42" x14ac:dyDescent="0.3">
      <c r="A42" s="1140" t="str">
        <f>template_label_energy_consumption_per_hour_in_mwh_for_liquid_fuels</f>
        <v>Energy Consumption per Hour in MWh for Liquid Fuels:</v>
      </c>
      <c r="B42" s="1140"/>
      <c r="AL42" s="10"/>
      <c r="AN42" s="10"/>
      <c r="AO42" s="10"/>
      <c r="AP42" s="10"/>
    </row>
    <row r="43" spans="1:42" ht="18" x14ac:dyDescent="0.35">
      <c r="A43" s="1141" t="str">
        <f>template_label_mass_liquid_fuels</f>
        <v>Mass [t] = Volume [L] * Density [t/L]</v>
      </c>
      <c r="B43" s="1141"/>
      <c r="AL43" s="10"/>
      <c r="AN43" s="10"/>
      <c r="AO43" s="10"/>
      <c r="AP43" s="10"/>
    </row>
    <row r="44" spans="1:42" ht="18" x14ac:dyDescent="0.35">
      <c r="A44" s="1141" t="str">
        <f>template_label_energy_liquid_fuels</f>
        <v>Energy [MWh] = Mass [t] * [MWh/t]</v>
      </c>
      <c r="B44" s="1141"/>
      <c r="AL44" s="10"/>
      <c r="AN44" s="10"/>
      <c r="AO44" s="10"/>
      <c r="AP44" s="10"/>
    </row>
    <row r="45" spans="1:42" x14ac:dyDescent="0.3">
      <c r="A45" s="1140"/>
      <c r="B45" s="1140"/>
      <c r="AL45" s="10"/>
      <c r="AN45" s="10"/>
      <c r="AO45" s="10"/>
      <c r="AP45" s="10"/>
    </row>
    <row r="46" spans="1:42" x14ac:dyDescent="0.3">
      <c r="A46" s="1140" t="str">
        <f>template_label_energy_consumption_per_hour_in_mwh_for_gaseous_fuels</f>
        <v>Energy Consumption per Hour in MWh for Gaseous Fuels:</v>
      </c>
      <c r="B46" s="1140"/>
      <c r="AL46" s="10"/>
      <c r="AN46" s="10"/>
      <c r="AO46" s="10"/>
      <c r="AP46" s="10"/>
    </row>
    <row r="47" spans="1:42" ht="18" x14ac:dyDescent="0.35">
      <c r="A47" s="1141" t="str">
        <f>template_label_mass_gaseous_fuels</f>
        <v>Mass [t] = Volume [m³] * Density [t/m³]</v>
      </c>
      <c r="B47" s="1141"/>
      <c r="C47" s="435"/>
      <c r="AL47" s="10"/>
      <c r="AN47" s="10"/>
      <c r="AO47" s="10"/>
      <c r="AP47" s="10"/>
    </row>
    <row r="48" spans="1:42" ht="18" x14ac:dyDescent="0.35">
      <c r="A48" s="1141" t="str">
        <f>template_label_energy_gaseous_fuels</f>
        <v>Energy [MWh] = Mass [t] * NCV [MWh/t]</v>
      </c>
      <c r="B48" s="1141"/>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zCxFejnTJ81r4RL7ytyF8pGcTr14HfWauxQc3TAXtSJNLVUh72FygtiHqRUJKzumgtwkuhdVwXwTbd4p388GBQ==" saltValue="Q2Vqc5O4g4HbhpZZPi4B0Q=="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185" t="s">
        <v>3583</v>
      </c>
      <c r="B62" s="1186"/>
      <c r="C62" s="1186"/>
      <c r="D62" s="1186"/>
      <c r="E62" s="1186"/>
      <c r="F62" s="1186"/>
      <c r="G62" s="1186"/>
      <c r="H62" s="1186"/>
      <c r="I62" s="1186"/>
      <c r="J62" s="1186"/>
      <c r="K62" s="1186"/>
      <c r="L62" s="1186"/>
      <c r="M62" s="1186"/>
      <c r="N62" s="1186"/>
      <c r="O62" s="1186"/>
      <c r="P62" s="1186"/>
      <c r="Q62" s="1186"/>
      <c r="R62" s="1186"/>
      <c r="S62" s="1186"/>
      <c r="T62" s="1186"/>
      <c r="U62" s="1186"/>
      <c r="V62" s="1186"/>
      <c r="W62" s="1186"/>
      <c r="X62" s="1186"/>
      <c r="Y62" s="1186"/>
      <c r="Z62" s="1186"/>
      <c r="AA62" s="1186"/>
      <c r="AB62" s="1186"/>
      <c r="AC62" s="1186"/>
      <c r="AD62" s="1186"/>
      <c r="AE62" s="1186"/>
      <c r="AF62" s="1186"/>
      <c r="AG62" s="1186"/>
      <c r="AH62" s="1186"/>
      <c r="AI62" s="1186"/>
      <c r="AJ62" s="1186"/>
      <c r="AK62" s="1186"/>
      <c r="AL62" s="1186"/>
      <c r="AM62" s="1186"/>
      <c r="AN62" s="1186"/>
      <c r="AO62" s="1186"/>
      <c r="AP62" s="1186"/>
      <c r="AQ62" s="1186"/>
      <c r="AR62" s="1186"/>
      <c r="AS62" s="1186"/>
      <c r="AT62" s="1186"/>
      <c r="AU62" s="1186"/>
      <c r="AV62" s="1186"/>
      <c r="AW62" s="1186"/>
      <c r="AX62" s="1186"/>
      <c r="AY62" s="1187"/>
    </row>
    <row r="63" spans="1:51" ht="43.95" customHeight="1" x14ac:dyDescent="0.3">
      <c r="A63" s="1188" t="s">
        <v>3616</v>
      </c>
      <c r="B63" s="1189"/>
      <c r="C63" s="1189"/>
      <c r="D63" s="1189"/>
      <c r="E63" s="1189"/>
      <c r="F63" s="1189"/>
      <c r="G63" s="1189"/>
      <c r="H63" s="1189"/>
      <c r="I63" s="1189"/>
      <c r="J63" s="1189"/>
      <c r="K63" s="1189"/>
      <c r="L63" s="1189"/>
      <c r="M63" s="1189"/>
      <c r="N63" s="1189"/>
      <c r="O63" s="1189"/>
      <c r="P63" s="1189"/>
      <c r="Q63" s="1189"/>
      <c r="R63" s="1189"/>
      <c r="S63" s="1189"/>
      <c r="T63" s="1189"/>
      <c r="U63" s="1189"/>
      <c r="V63" s="1189"/>
      <c r="W63" s="1189"/>
      <c r="X63" s="1189"/>
      <c r="Y63" s="1189"/>
      <c r="Z63" s="1189"/>
      <c r="AA63" s="1189"/>
      <c r="AB63" s="1189"/>
      <c r="AC63" s="1189"/>
      <c r="AD63" s="1189"/>
      <c r="AE63" s="1189"/>
      <c r="AF63" s="1189"/>
      <c r="AG63" s="1189"/>
      <c r="AH63" s="1189"/>
      <c r="AI63" s="1189"/>
      <c r="AJ63" s="1189"/>
      <c r="AK63" s="1189"/>
      <c r="AL63" s="1189"/>
      <c r="AM63" s="1189"/>
      <c r="AN63" s="1189"/>
      <c r="AO63" s="1189"/>
      <c r="AP63" s="1189"/>
      <c r="AQ63" s="1189"/>
      <c r="AR63" s="1189"/>
      <c r="AS63" s="1189"/>
      <c r="AT63" s="1189"/>
      <c r="AU63" s="1189"/>
      <c r="AV63" s="1189"/>
      <c r="AW63" s="1189"/>
      <c r="AX63" s="1189"/>
      <c r="AY63" s="1190"/>
    </row>
    <row r="64" spans="1:51" x14ac:dyDescent="0.3">
      <c r="A64" s="1191" t="s">
        <v>3617</v>
      </c>
      <c r="B64" s="1192"/>
      <c r="C64" s="1192"/>
      <c r="D64" s="1192"/>
      <c r="E64" s="1192"/>
      <c r="F64" s="1192"/>
      <c r="G64" s="1192"/>
      <c r="H64" s="1192"/>
      <c r="I64" s="1192"/>
      <c r="J64" s="1192"/>
      <c r="K64" s="1192"/>
      <c r="L64" s="1192"/>
      <c r="M64" s="1192"/>
      <c r="N64" s="1192"/>
      <c r="O64" s="1192"/>
      <c r="P64" s="1192"/>
      <c r="Q64" s="1192"/>
      <c r="R64" s="1192"/>
      <c r="S64" s="1192"/>
      <c r="T64" s="1192"/>
      <c r="U64" s="1192"/>
      <c r="V64" s="1192"/>
      <c r="W64" s="1192"/>
      <c r="X64" s="1192"/>
      <c r="Y64" s="1192"/>
      <c r="Z64" s="1192"/>
      <c r="AA64" s="1192"/>
      <c r="AB64" s="1192"/>
      <c r="AC64" s="1192"/>
      <c r="AD64" s="1192"/>
      <c r="AE64" s="1192"/>
      <c r="AF64" s="1192"/>
      <c r="AG64" s="1192"/>
      <c r="AH64" s="1192"/>
      <c r="AI64" s="1192"/>
      <c r="AJ64" s="1192"/>
      <c r="AK64" s="1192"/>
      <c r="AL64" s="1192"/>
      <c r="AM64" s="1192"/>
      <c r="AN64" s="1192"/>
      <c r="AO64" s="1192"/>
      <c r="AP64" s="1192"/>
      <c r="AQ64" s="1192"/>
      <c r="AR64" s="1192"/>
      <c r="AS64" s="1192"/>
      <c r="AT64" s="1192"/>
      <c r="AU64" s="1192"/>
      <c r="AV64" s="1192"/>
      <c r="AW64" s="1192"/>
      <c r="AX64" s="1192"/>
      <c r="AY64" s="1193"/>
    </row>
    <row r="65" spans="1:51" x14ac:dyDescent="0.3">
      <c r="A65" s="1182" t="s">
        <v>3584</v>
      </c>
      <c r="B65" s="1183"/>
      <c r="C65" s="1183"/>
      <c r="D65" s="1183"/>
      <c r="E65" s="1183"/>
      <c r="F65" s="1183"/>
      <c r="G65" s="1183"/>
      <c r="H65" s="1183"/>
      <c r="I65" s="1183"/>
      <c r="J65" s="1183"/>
      <c r="K65" s="1183"/>
      <c r="L65" s="1183"/>
      <c r="M65" s="1183"/>
      <c r="N65" s="1183"/>
      <c r="O65" s="1183"/>
      <c r="P65" s="1183"/>
      <c r="Q65" s="1183"/>
      <c r="R65" s="1183"/>
      <c r="S65" s="1183"/>
      <c r="T65" s="1183"/>
      <c r="U65" s="1183"/>
      <c r="V65" s="1183"/>
      <c r="W65" s="1183"/>
      <c r="X65" s="1183"/>
      <c r="Y65" s="1183"/>
      <c r="Z65" s="1183"/>
      <c r="AA65" s="1183"/>
      <c r="AB65" s="1183"/>
      <c r="AC65" s="1183"/>
      <c r="AD65" s="1183"/>
      <c r="AE65" s="1183"/>
      <c r="AF65" s="1183"/>
      <c r="AG65" s="1183"/>
      <c r="AH65" s="1183"/>
      <c r="AI65" s="1183"/>
      <c r="AJ65" s="1183"/>
      <c r="AK65" s="1183"/>
      <c r="AL65" s="1183"/>
      <c r="AM65" s="1183"/>
      <c r="AN65" s="1183"/>
      <c r="AO65" s="1183"/>
      <c r="AP65" s="1183"/>
      <c r="AQ65" s="1183"/>
      <c r="AR65" s="1183"/>
      <c r="AS65" s="1183"/>
      <c r="AT65" s="1183"/>
      <c r="AU65" s="1183"/>
      <c r="AV65" s="1183"/>
      <c r="AW65" s="1183"/>
      <c r="AX65" s="1183"/>
      <c r="AY65" s="1184"/>
    </row>
    <row r="66" spans="1:51" x14ac:dyDescent="0.3">
      <c r="A66" s="1161" t="s">
        <v>3618</v>
      </c>
      <c r="B66" s="1162"/>
      <c r="C66" s="1162"/>
      <c r="D66" s="1162"/>
      <c r="E66" s="1162"/>
      <c r="F66" s="1162"/>
      <c r="G66" s="1162"/>
      <c r="H66" s="1162"/>
      <c r="I66" s="1162"/>
      <c r="J66" s="1162"/>
      <c r="K66" s="1162"/>
      <c r="L66" s="1162"/>
      <c r="M66" s="1162"/>
      <c r="N66" s="1162"/>
      <c r="O66" s="1162"/>
      <c r="P66" s="1162"/>
      <c r="Q66" s="1162"/>
      <c r="R66" s="1162"/>
      <c r="S66" s="1162"/>
      <c r="T66" s="1162"/>
      <c r="U66" s="1162"/>
      <c r="V66" s="1162"/>
      <c r="W66" s="1162"/>
      <c r="X66" s="1162"/>
      <c r="Y66" s="1162"/>
      <c r="Z66" s="1162"/>
      <c r="AA66" s="1162"/>
      <c r="AB66" s="1162"/>
      <c r="AC66" s="1162"/>
      <c r="AD66" s="1162"/>
      <c r="AE66" s="1162"/>
      <c r="AF66" s="1162"/>
      <c r="AG66" s="1162"/>
      <c r="AH66" s="1162"/>
      <c r="AI66" s="1162"/>
      <c r="AJ66" s="1162"/>
      <c r="AK66" s="1162"/>
      <c r="AL66" s="1162"/>
      <c r="AM66" s="1162"/>
      <c r="AN66" s="1162"/>
      <c r="AO66" s="1162"/>
      <c r="AP66" s="1162"/>
      <c r="AQ66" s="1162"/>
      <c r="AR66" s="1162"/>
      <c r="AS66" s="1162"/>
      <c r="AT66" s="1162"/>
      <c r="AU66" s="1162"/>
      <c r="AV66" s="1162"/>
      <c r="AW66" s="1162"/>
      <c r="AX66" s="1162"/>
      <c r="AY66" s="1163"/>
    </row>
    <row r="67" spans="1:51" x14ac:dyDescent="0.3">
      <c r="A67" s="1164" t="s">
        <v>3619</v>
      </c>
      <c r="B67" s="1180"/>
      <c r="C67" s="1180"/>
      <c r="D67" s="1180"/>
      <c r="E67" s="1180"/>
      <c r="F67" s="1180"/>
      <c r="G67" s="1180"/>
      <c r="H67" s="1180"/>
      <c r="I67" s="1180"/>
      <c r="J67" s="1180"/>
      <c r="K67" s="1180"/>
      <c r="L67" s="1180"/>
      <c r="M67" s="1180"/>
      <c r="N67" s="1180"/>
      <c r="O67" s="1180"/>
      <c r="P67" s="1180"/>
      <c r="Q67" s="1180"/>
      <c r="R67" s="1180"/>
      <c r="S67" s="1180"/>
      <c r="T67" s="1180"/>
      <c r="U67" s="1180"/>
      <c r="V67" s="1180"/>
      <c r="W67" s="1180"/>
      <c r="X67" s="1180"/>
      <c r="Y67" s="1180"/>
      <c r="Z67" s="1180"/>
      <c r="AA67" s="1180"/>
      <c r="AB67" s="1180"/>
      <c r="AC67" s="1180"/>
      <c r="AD67" s="1180"/>
      <c r="AE67" s="1180"/>
      <c r="AF67" s="1180"/>
      <c r="AG67" s="1180"/>
      <c r="AH67" s="1180"/>
      <c r="AI67" s="1180"/>
      <c r="AJ67" s="1180"/>
      <c r="AK67" s="1180"/>
      <c r="AL67" s="1180"/>
      <c r="AM67" s="1180"/>
      <c r="AN67" s="1180"/>
      <c r="AO67" s="1180"/>
      <c r="AP67" s="1180"/>
      <c r="AQ67" s="1180"/>
      <c r="AR67" s="1180"/>
      <c r="AS67" s="1180"/>
      <c r="AT67" s="1180"/>
      <c r="AU67" s="1180"/>
      <c r="AV67" s="1180"/>
      <c r="AW67" s="1180"/>
      <c r="AX67" s="1180"/>
      <c r="AY67" s="1181"/>
    </row>
    <row r="68" spans="1:51" x14ac:dyDescent="0.3">
      <c r="A68" s="1161" t="s">
        <v>3620</v>
      </c>
      <c r="B68" s="1162"/>
      <c r="C68" s="1162"/>
      <c r="D68" s="1162"/>
      <c r="E68" s="1162"/>
      <c r="F68" s="1162"/>
      <c r="G68" s="1162"/>
      <c r="H68" s="1162"/>
      <c r="I68" s="1162"/>
      <c r="J68" s="1162"/>
      <c r="K68" s="1162"/>
      <c r="L68" s="1162"/>
      <c r="M68" s="1162"/>
      <c r="N68" s="1162"/>
      <c r="O68" s="1162"/>
      <c r="P68" s="1162"/>
      <c r="Q68" s="1162"/>
      <c r="R68" s="1162"/>
      <c r="S68" s="1162"/>
      <c r="T68" s="1162"/>
      <c r="U68" s="1162"/>
      <c r="V68" s="1162"/>
      <c r="W68" s="1162"/>
      <c r="X68" s="1162"/>
      <c r="Y68" s="1162"/>
      <c r="Z68" s="1162"/>
      <c r="AA68" s="1162"/>
      <c r="AB68" s="1162"/>
      <c r="AC68" s="1162"/>
      <c r="AD68" s="1162"/>
      <c r="AE68" s="1162"/>
      <c r="AF68" s="1162"/>
      <c r="AG68" s="1162"/>
      <c r="AH68" s="1162"/>
      <c r="AI68" s="1162"/>
      <c r="AJ68" s="1162"/>
      <c r="AK68" s="1162"/>
      <c r="AL68" s="1162"/>
      <c r="AM68" s="1162"/>
      <c r="AN68" s="1162"/>
      <c r="AO68" s="1162"/>
      <c r="AP68" s="1162"/>
      <c r="AQ68" s="1162"/>
      <c r="AR68" s="1162"/>
      <c r="AS68" s="1162"/>
      <c r="AT68" s="1162"/>
      <c r="AU68" s="1162"/>
      <c r="AV68" s="1162"/>
      <c r="AW68" s="1162"/>
      <c r="AX68" s="1162"/>
      <c r="AY68" s="1163"/>
    </row>
    <row r="69" spans="1:51" x14ac:dyDescent="0.3">
      <c r="A69" s="1164" t="s">
        <v>3621</v>
      </c>
      <c r="B69" s="1180"/>
      <c r="C69" s="1180"/>
      <c r="D69" s="1180"/>
      <c r="E69" s="1180"/>
      <c r="F69" s="1180"/>
      <c r="G69" s="1180"/>
      <c r="H69" s="1180"/>
      <c r="I69" s="1180"/>
      <c r="J69" s="1180"/>
      <c r="K69" s="1180"/>
      <c r="L69" s="1180"/>
      <c r="M69" s="1180"/>
      <c r="N69" s="1180"/>
      <c r="O69" s="1180"/>
      <c r="P69" s="1180"/>
      <c r="Q69" s="1180"/>
      <c r="R69" s="1180"/>
      <c r="S69" s="1180"/>
      <c r="T69" s="1180"/>
      <c r="U69" s="1180"/>
      <c r="V69" s="1180"/>
      <c r="W69" s="1180"/>
      <c r="X69" s="1180"/>
      <c r="Y69" s="1180"/>
      <c r="Z69" s="1180"/>
      <c r="AA69" s="1180"/>
      <c r="AB69" s="1180"/>
      <c r="AC69" s="1180"/>
      <c r="AD69" s="1180"/>
      <c r="AE69" s="1180"/>
      <c r="AF69" s="1180"/>
      <c r="AG69" s="1180"/>
      <c r="AH69" s="1180"/>
      <c r="AI69" s="1180"/>
      <c r="AJ69" s="1180"/>
      <c r="AK69" s="1180"/>
      <c r="AL69" s="1180"/>
      <c r="AM69" s="1180"/>
      <c r="AN69" s="1180"/>
      <c r="AO69" s="1180"/>
      <c r="AP69" s="1180"/>
      <c r="AQ69" s="1180"/>
      <c r="AR69" s="1180"/>
      <c r="AS69" s="1180"/>
      <c r="AT69" s="1180"/>
      <c r="AU69" s="1180"/>
      <c r="AV69" s="1180"/>
      <c r="AW69" s="1180"/>
      <c r="AX69" s="1180"/>
      <c r="AY69" s="1181"/>
    </row>
    <row r="70" spans="1:51" x14ac:dyDescent="0.3">
      <c r="A70" s="1161" t="s">
        <v>3622</v>
      </c>
      <c r="B70" s="1162"/>
      <c r="C70" s="1162"/>
      <c r="D70" s="1162"/>
      <c r="E70" s="1162"/>
      <c r="F70" s="1162"/>
      <c r="G70" s="1162"/>
      <c r="H70" s="1162"/>
      <c r="I70" s="1162"/>
      <c r="J70" s="1162"/>
      <c r="K70" s="1162"/>
      <c r="L70" s="1162"/>
      <c r="M70" s="1162"/>
      <c r="N70" s="1162"/>
      <c r="O70" s="1162"/>
      <c r="P70" s="1162"/>
      <c r="Q70" s="1162"/>
      <c r="R70" s="1162"/>
      <c r="S70" s="1162"/>
      <c r="T70" s="1162"/>
      <c r="U70" s="1162"/>
      <c r="V70" s="1162"/>
      <c r="W70" s="1162"/>
      <c r="X70" s="1162"/>
      <c r="Y70" s="1162"/>
      <c r="Z70" s="1162"/>
      <c r="AA70" s="1162"/>
      <c r="AB70" s="1162"/>
      <c r="AC70" s="1162"/>
      <c r="AD70" s="1162"/>
      <c r="AE70" s="1162"/>
      <c r="AF70" s="1162"/>
      <c r="AG70" s="1162"/>
      <c r="AH70" s="1162"/>
      <c r="AI70" s="1162"/>
      <c r="AJ70" s="1162"/>
      <c r="AK70" s="1162"/>
      <c r="AL70" s="1162"/>
      <c r="AM70" s="1162"/>
      <c r="AN70" s="1162"/>
      <c r="AO70" s="1162"/>
      <c r="AP70" s="1162"/>
      <c r="AQ70" s="1162"/>
      <c r="AR70" s="1162"/>
      <c r="AS70" s="1162"/>
      <c r="AT70" s="1162"/>
      <c r="AU70" s="1162"/>
      <c r="AV70" s="1162"/>
      <c r="AW70" s="1162"/>
      <c r="AX70" s="1162"/>
      <c r="AY70" s="1163"/>
    </row>
    <row r="71" spans="1:51" x14ac:dyDescent="0.3">
      <c r="A71" s="1164" t="s">
        <v>3623</v>
      </c>
      <c r="B71" s="1180"/>
      <c r="C71" s="1180"/>
      <c r="D71" s="1180"/>
      <c r="E71" s="1180"/>
      <c r="F71" s="1180"/>
      <c r="G71" s="1180"/>
      <c r="H71" s="1180"/>
      <c r="I71" s="1180"/>
      <c r="J71" s="1180"/>
      <c r="K71" s="1180"/>
      <c r="L71" s="1180"/>
      <c r="M71" s="1180"/>
      <c r="N71" s="1180"/>
      <c r="O71" s="1180"/>
      <c r="P71" s="1180"/>
      <c r="Q71" s="1180"/>
      <c r="R71" s="1180"/>
      <c r="S71" s="1180"/>
      <c r="T71" s="1180"/>
      <c r="U71" s="1180"/>
      <c r="V71" s="1180"/>
      <c r="W71" s="1180"/>
      <c r="X71" s="1180"/>
      <c r="Y71" s="1180"/>
      <c r="Z71" s="1180"/>
      <c r="AA71" s="1180"/>
      <c r="AB71" s="1180"/>
      <c r="AC71" s="1180"/>
      <c r="AD71" s="1180"/>
      <c r="AE71" s="1180"/>
      <c r="AF71" s="1180"/>
      <c r="AG71" s="1180"/>
      <c r="AH71" s="1180"/>
      <c r="AI71" s="1180"/>
      <c r="AJ71" s="1180"/>
      <c r="AK71" s="1180"/>
      <c r="AL71" s="1180"/>
      <c r="AM71" s="1180"/>
      <c r="AN71" s="1180"/>
      <c r="AO71" s="1180"/>
      <c r="AP71" s="1180"/>
      <c r="AQ71" s="1180"/>
      <c r="AR71" s="1180"/>
      <c r="AS71" s="1180"/>
      <c r="AT71" s="1180"/>
      <c r="AU71" s="1180"/>
      <c r="AV71" s="1180"/>
      <c r="AW71" s="1180"/>
      <c r="AX71" s="1180"/>
      <c r="AY71" s="1181"/>
    </row>
    <row r="72" spans="1:51" x14ac:dyDescent="0.3">
      <c r="A72" s="1161" t="s">
        <v>3624</v>
      </c>
      <c r="B72" s="1162"/>
      <c r="C72" s="1162"/>
      <c r="D72" s="1162"/>
      <c r="E72" s="1162"/>
      <c r="F72" s="1162"/>
      <c r="G72" s="1162"/>
      <c r="H72" s="1162"/>
      <c r="I72" s="1162"/>
      <c r="J72" s="1162"/>
      <c r="K72" s="1162"/>
      <c r="L72" s="1162"/>
      <c r="M72" s="1162"/>
      <c r="N72" s="1162"/>
      <c r="O72" s="1162"/>
      <c r="P72" s="1162"/>
      <c r="Q72" s="1162"/>
      <c r="R72" s="1162"/>
      <c r="S72" s="1162"/>
      <c r="T72" s="1162"/>
      <c r="U72" s="1162"/>
      <c r="V72" s="1162"/>
      <c r="W72" s="1162"/>
      <c r="X72" s="1162"/>
      <c r="Y72" s="1162"/>
      <c r="Z72" s="1162"/>
      <c r="AA72" s="1162"/>
      <c r="AB72" s="1162"/>
      <c r="AC72" s="1162"/>
      <c r="AD72" s="1162"/>
      <c r="AE72" s="1162"/>
      <c r="AF72" s="1162"/>
      <c r="AG72" s="1162"/>
      <c r="AH72" s="1162"/>
      <c r="AI72" s="1162"/>
      <c r="AJ72" s="1162"/>
      <c r="AK72" s="1162"/>
      <c r="AL72" s="1162"/>
      <c r="AM72" s="1162"/>
      <c r="AN72" s="1162"/>
      <c r="AO72" s="1162"/>
      <c r="AP72" s="1162"/>
      <c r="AQ72" s="1162"/>
      <c r="AR72" s="1162"/>
      <c r="AS72" s="1162"/>
      <c r="AT72" s="1162"/>
      <c r="AU72" s="1162"/>
      <c r="AV72" s="1162"/>
      <c r="AW72" s="1162"/>
      <c r="AX72" s="1162"/>
      <c r="AY72" s="1163"/>
    </row>
    <row r="73" spans="1:51" x14ac:dyDescent="0.3">
      <c r="A73" s="1164" t="s">
        <v>3625</v>
      </c>
      <c r="B73" s="1180"/>
      <c r="C73" s="1180"/>
      <c r="D73" s="1180"/>
      <c r="E73" s="1180"/>
      <c r="F73" s="1180"/>
      <c r="G73" s="1180"/>
      <c r="H73" s="1180"/>
      <c r="I73" s="1180"/>
      <c r="J73" s="1180"/>
      <c r="K73" s="1180"/>
      <c r="L73" s="1180"/>
      <c r="M73" s="1180"/>
      <c r="N73" s="1180"/>
      <c r="O73" s="1180"/>
      <c r="P73" s="1180"/>
      <c r="Q73" s="1180"/>
      <c r="R73" s="1180"/>
      <c r="S73" s="1180"/>
      <c r="T73" s="1180"/>
      <c r="U73" s="1180"/>
      <c r="V73" s="1180"/>
      <c r="W73" s="1180"/>
      <c r="X73" s="1180"/>
      <c r="Y73" s="1180"/>
      <c r="Z73" s="1180"/>
      <c r="AA73" s="1180"/>
      <c r="AB73" s="1180"/>
      <c r="AC73" s="1180"/>
      <c r="AD73" s="1180"/>
      <c r="AE73" s="1180"/>
      <c r="AF73" s="1180"/>
      <c r="AG73" s="1180"/>
      <c r="AH73" s="1180"/>
      <c r="AI73" s="1180"/>
      <c r="AJ73" s="1180"/>
      <c r="AK73" s="1180"/>
      <c r="AL73" s="1180"/>
      <c r="AM73" s="1180"/>
      <c r="AN73" s="1180"/>
      <c r="AO73" s="1180"/>
      <c r="AP73" s="1180"/>
      <c r="AQ73" s="1180"/>
      <c r="AR73" s="1180"/>
      <c r="AS73" s="1180"/>
      <c r="AT73" s="1180"/>
      <c r="AU73" s="1180"/>
      <c r="AV73" s="1180"/>
      <c r="AW73" s="1180"/>
      <c r="AX73" s="1180"/>
      <c r="AY73" s="1181"/>
    </row>
    <row r="74" spans="1:51" x14ac:dyDescent="0.3">
      <c r="A74" s="1161" t="s">
        <v>3626</v>
      </c>
      <c r="B74" s="1162"/>
      <c r="C74" s="1162"/>
      <c r="D74" s="1162"/>
      <c r="E74" s="1162"/>
      <c r="F74" s="1162"/>
      <c r="G74" s="1162"/>
      <c r="H74" s="1162"/>
      <c r="I74" s="1162"/>
      <c r="J74" s="1162"/>
      <c r="K74" s="1162"/>
      <c r="L74" s="1162"/>
      <c r="M74" s="1162"/>
      <c r="N74" s="1162"/>
      <c r="O74" s="1162"/>
      <c r="P74" s="1162"/>
      <c r="Q74" s="1162"/>
      <c r="R74" s="1162"/>
      <c r="S74" s="1162"/>
      <c r="T74" s="1162"/>
      <c r="U74" s="1162"/>
      <c r="V74" s="1162"/>
      <c r="W74" s="1162"/>
      <c r="X74" s="1162"/>
      <c r="Y74" s="1162"/>
      <c r="Z74" s="1162"/>
      <c r="AA74" s="1162"/>
      <c r="AB74" s="1162"/>
      <c r="AC74" s="1162"/>
      <c r="AD74" s="1162"/>
      <c r="AE74" s="1162"/>
      <c r="AF74" s="1162"/>
      <c r="AG74" s="1162"/>
      <c r="AH74" s="1162"/>
      <c r="AI74" s="1162"/>
      <c r="AJ74" s="1162"/>
      <c r="AK74" s="1162"/>
      <c r="AL74" s="1162"/>
      <c r="AM74" s="1162"/>
      <c r="AN74" s="1162"/>
      <c r="AO74" s="1162"/>
      <c r="AP74" s="1162"/>
      <c r="AQ74" s="1162"/>
      <c r="AR74" s="1162"/>
      <c r="AS74" s="1162"/>
      <c r="AT74" s="1162"/>
      <c r="AU74" s="1162"/>
      <c r="AV74" s="1162"/>
      <c r="AW74" s="1162"/>
      <c r="AX74" s="1162"/>
      <c r="AY74" s="1163"/>
    </row>
    <row r="75" spans="1:51" x14ac:dyDescent="0.3">
      <c r="A75" s="1164" t="s">
        <v>3627</v>
      </c>
      <c r="B75" s="1180"/>
      <c r="C75" s="1180"/>
      <c r="D75" s="1180"/>
      <c r="E75" s="1180"/>
      <c r="F75" s="1180"/>
      <c r="G75" s="1180"/>
      <c r="H75" s="1180"/>
      <c r="I75" s="1180"/>
      <c r="J75" s="1180"/>
      <c r="K75" s="1180"/>
      <c r="L75" s="1180"/>
      <c r="M75" s="1180"/>
      <c r="N75" s="1180"/>
      <c r="O75" s="1180"/>
      <c r="P75" s="1180"/>
      <c r="Q75" s="1180"/>
      <c r="R75" s="1180"/>
      <c r="S75" s="1180"/>
      <c r="T75" s="1180"/>
      <c r="U75" s="1180"/>
      <c r="V75" s="1180"/>
      <c r="W75" s="1180"/>
      <c r="X75" s="1180"/>
      <c r="Y75" s="1180"/>
      <c r="Z75" s="1180"/>
      <c r="AA75" s="1180"/>
      <c r="AB75" s="1180"/>
      <c r="AC75" s="1180"/>
      <c r="AD75" s="1180"/>
      <c r="AE75" s="1180"/>
      <c r="AF75" s="1180"/>
      <c r="AG75" s="1180"/>
      <c r="AH75" s="1180"/>
      <c r="AI75" s="1180"/>
      <c r="AJ75" s="1180"/>
      <c r="AK75" s="1180"/>
      <c r="AL75" s="1180"/>
      <c r="AM75" s="1180"/>
      <c r="AN75" s="1180"/>
      <c r="AO75" s="1180"/>
      <c r="AP75" s="1180"/>
      <c r="AQ75" s="1180"/>
      <c r="AR75" s="1180"/>
      <c r="AS75" s="1180"/>
      <c r="AT75" s="1180"/>
      <c r="AU75" s="1180"/>
      <c r="AV75" s="1180"/>
      <c r="AW75" s="1180"/>
      <c r="AX75" s="1180"/>
      <c r="AY75" s="1181"/>
    </row>
    <row r="76" spans="1:51" x14ac:dyDescent="0.3">
      <c r="A76" s="1202" t="s">
        <v>3628</v>
      </c>
      <c r="B76" s="1203"/>
      <c r="C76" s="1203"/>
      <c r="D76" s="1203"/>
      <c r="E76" s="1203"/>
      <c r="F76" s="1203"/>
      <c r="G76" s="1203"/>
      <c r="H76" s="1203"/>
      <c r="I76" s="1203"/>
      <c r="J76" s="1203"/>
      <c r="K76" s="1203"/>
      <c r="L76" s="1203"/>
      <c r="M76" s="1203"/>
      <c r="N76" s="1203"/>
      <c r="O76" s="1203"/>
      <c r="P76" s="1203"/>
      <c r="Q76" s="1203"/>
      <c r="R76" s="1203"/>
      <c r="S76" s="1203"/>
      <c r="T76" s="1203"/>
      <c r="U76" s="1203"/>
      <c r="V76" s="1203"/>
      <c r="W76" s="1203"/>
      <c r="X76" s="1203"/>
      <c r="Y76" s="1203"/>
      <c r="Z76" s="1203"/>
      <c r="AA76" s="1203"/>
      <c r="AB76" s="1203"/>
      <c r="AC76" s="1203"/>
      <c r="AD76" s="1203"/>
      <c r="AE76" s="1203"/>
      <c r="AF76" s="1203"/>
      <c r="AG76" s="1203"/>
      <c r="AH76" s="1203"/>
      <c r="AI76" s="1203"/>
      <c r="AJ76" s="1203"/>
      <c r="AK76" s="1203"/>
      <c r="AL76" s="1203"/>
      <c r="AM76" s="1203"/>
      <c r="AN76" s="1203"/>
      <c r="AO76" s="1203"/>
      <c r="AP76" s="1203"/>
      <c r="AQ76" s="1203"/>
      <c r="AR76" s="1203"/>
      <c r="AS76" s="1203"/>
      <c r="AT76" s="1203"/>
      <c r="AU76" s="1203"/>
      <c r="AV76" s="1203"/>
      <c r="AW76" s="1203"/>
      <c r="AX76" s="1203"/>
      <c r="AY76" s="1204"/>
    </row>
    <row r="77" spans="1:51" x14ac:dyDescent="0.3">
      <c r="A77" s="1199" t="s">
        <v>3629</v>
      </c>
      <c r="B77" s="1200"/>
      <c r="C77" s="1200"/>
      <c r="D77" s="1200"/>
      <c r="E77" s="1200"/>
      <c r="F77" s="1200"/>
      <c r="G77" s="1200"/>
      <c r="H77" s="1200"/>
      <c r="I77" s="1200"/>
      <c r="J77" s="1200"/>
      <c r="K77" s="1200"/>
      <c r="L77" s="1200"/>
      <c r="M77" s="1200"/>
      <c r="N77" s="1200"/>
      <c r="O77" s="1200"/>
      <c r="P77" s="1200"/>
      <c r="Q77" s="1200"/>
      <c r="R77" s="1200"/>
      <c r="S77" s="1200"/>
      <c r="T77" s="1200"/>
      <c r="U77" s="1200"/>
      <c r="V77" s="1200"/>
      <c r="W77" s="1200"/>
      <c r="X77" s="1200"/>
      <c r="Y77" s="1200"/>
      <c r="Z77" s="1200"/>
      <c r="AA77" s="1200"/>
      <c r="AB77" s="1200"/>
      <c r="AC77" s="1200"/>
      <c r="AD77" s="1200"/>
      <c r="AE77" s="1200"/>
      <c r="AF77" s="1200"/>
      <c r="AG77" s="1200"/>
      <c r="AH77" s="1200"/>
      <c r="AI77" s="1200"/>
      <c r="AJ77" s="1200"/>
      <c r="AK77" s="1200"/>
      <c r="AL77" s="1200"/>
      <c r="AM77" s="1200"/>
      <c r="AN77" s="1200"/>
      <c r="AO77" s="1200"/>
      <c r="AP77" s="1200"/>
      <c r="AQ77" s="1200"/>
      <c r="AR77" s="1200"/>
      <c r="AS77" s="1200"/>
      <c r="AT77" s="1200"/>
      <c r="AU77" s="1200"/>
      <c r="AV77" s="1200"/>
      <c r="AW77" s="1200"/>
      <c r="AX77" s="1200"/>
      <c r="AY77" s="1201"/>
    </row>
    <row r="78" spans="1:51" x14ac:dyDescent="0.3">
      <c r="A78" s="1174" t="s">
        <v>3630</v>
      </c>
      <c r="B78" s="1175"/>
      <c r="C78" s="1175"/>
      <c r="D78" s="1175"/>
      <c r="E78" s="1175"/>
      <c r="F78" s="1175"/>
      <c r="G78" s="1175"/>
      <c r="H78" s="1175"/>
      <c r="I78" s="1175"/>
      <c r="J78" s="1175"/>
      <c r="K78" s="1175"/>
      <c r="L78" s="1175"/>
      <c r="M78" s="1175"/>
      <c r="N78" s="1175"/>
      <c r="O78" s="1175"/>
      <c r="P78" s="1175"/>
      <c r="Q78" s="1175"/>
      <c r="R78" s="1175"/>
      <c r="S78" s="1175"/>
      <c r="T78" s="1175"/>
      <c r="U78" s="1175"/>
      <c r="V78" s="1175"/>
      <c r="W78" s="1175"/>
      <c r="X78" s="1175"/>
      <c r="Y78" s="1175"/>
      <c r="Z78" s="1175"/>
      <c r="AA78" s="1175"/>
      <c r="AB78" s="1175"/>
      <c r="AC78" s="1175"/>
      <c r="AD78" s="1175"/>
      <c r="AE78" s="1175"/>
      <c r="AF78" s="1175"/>
      <c r="AG78" s="1175"/>
      <c r="AH78" s="1175"/>
      <c r="AI78" s="1175"/>
      <c r="AJ78" s="1175"/>
      <c r="AK78" s="1175"/>
      <c r="AL78" s="1175"/>
      <c r="AM78" s="1175"/>
      <c r="AN78" s="1175"/>
      <c r="AO78" s="1175"/>
      <c r="AP78" s="1175"/>
      <c r="AQ78" s="1175"/>
      <c r="AR78" s="1175"/>
      <c r="AS78" s="1175"/>
      <c r="AT78" s="1175"/>
      <c r="AU78" s="1175"/>
      <c r="AV78" s="1175"/>
      <c r="AW78" s="1175"/>
      <c r="AX78" s="1175"/>
      <c r="AY78" s="1176"/>
    </row>
    <row r="79" spans="1:51" x14ac:dyDescent="0.3">
      <c r="A79" s="1196" t="s">
        <v>3631</v>
      </c>
      <c r="B79" s="1197"/>
      <c r="C79" s="1197"/>
      <c r="D79" s="1197"/>
      <c r="E79" s="1197"/>
      <c r="F79" s="1197"/>
      <c r="G79" s="1197"/>
      <c r="H79" s="1197"/>
      <c r="I79" s="1197"/>
      <c r="J79" s="1197"/>
      <c r="K79" s="1197"/>
      <c r="L79" s="1197"/>
      <c r="M79" s="1197"/>
      <c r="N79" s="1197"/>
      <c r="O79" s="1197"/>
      <c r="P79" s="1197"/>
      <c r="Q79" s="1197"/>
      <c r="R79" s="1197"/>
      <c r="S79" s="1197"/>
      <c r="T79" s="1197"/>
      <c r="U79" s="1197"/>
      <c r="V79" s="1197"/>
      <c r="W79" s="1197"/>
      <c r="X79" s="1197"/>
      <c r="Y79" s="1197"/>
      <c r="Z79" s="1197"/>
      <c r="AA79" s="1197"/>
      <c r="AB79" s="1197"/>
      <c r="AC79" s="1197"/>
      <c r="AD79" s="1197"/>
      <c r="AE79" s="1197"/>
      <c r="AF79" s="1197"/>
      <c r="AG79" s="1197"/>
      <c r="AH79" s="1197"/>
      <c r="AI79" s="1197"/>
      <c r="AJ79" s="1197"/>
      <c r="AK79" s="1197"/>
      <c r="AL79" s="1197"/>
      <c r="AM79" s="1197"/>
      <c r="AN79" s="1197"/>
      <c r="AO79" s="1197"/>
      <c r="AP79" s="1197"/>
      <c r="AQ79" s="1197"/>
      <c r="AR79" s="1197"/>
      <c r="AS79" s="1197"/>
      <c r="AT79" s="1197"/>
      <c r="AU79" s="1197"/>
      <c r="AV79" s="1197"/>
      <c r="AW79" s="1197"/>
      <c r="AX79" s="1197"/>
      <c r="AY79" s="1198"/>
    </row>
    <row r="80" spans="1:51" x14ac:dyDescent="0.3">
      <c r="A80" s="1173" t="s">
        <v>3632</v>
      </c>
      <c r="B80" s="1194"/>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94"/>
      <c r="AA80" s="1194"/>
      <c r="AB80" s="1194"/>
      <c r="AC80" s="1194"/>
      <c r="AD80" s="1194"/>
      <c r="AE80" s="1194"/>
      <c r="AF80" s="1194"/>
      <c r="AG80" s="1194"/>
      <c r="AH80" s="1194"/>
      <c r="AI80" s="1194"/>
      <c r="AJ80" s="1194"/>
      <c r="AK80" s="1194"/>
      <c r="AL80" s="1194"/>
      <c r="AM80" s="1194"/>
      <c r="AN80" s="1194"/>
      <c r="AO80" s="1194"/>
      <c r="AP80" s="1194"/>
      <c r="AQ80" s="1194"/>
      <c r="AR80" s="1194"/>
      <c r="AS80" s="1194"/>
      <c r="AT80" s="1194"/>
      <c r="AU80" s="1194"/>
      <c r="AV80" s="1194"/>
      <c r="AW80" s="1194"/>
      <c r="AX80" s="1194"/>
      <c r="AY80" s="1195"/>
    </row>
    <row r="81" spans="1:51" x14ac:dyDescent="0.3">
      <c r="A81" s="1174" t="s">
        <v>3633</v>
      </c>
      <c r="B81" s="1175"/>
      <c r="C81" s="1175"/>
      <c r="D81" s="1175"/>
      <c r="E81" s="1175"/>
      <c r="F81" s="1175"/>
      <c r="G81" s="1175"/>
      <c r="H81" s="1175"/>
      <c r="I81" s="1175"/>
      <c r="J81" s="1175"/>
      <c r="K81" s="1175"/>
      <c r="L81" s="1175"/>
      <c r="M81" s="1175"/>
      <c r="N81" s="1175"/>
      <c r="O81" s="1175"/>
      <c r="P81" s="1175"/>
      <c r="Q81" s="1175"/>
      <c r="R81" s="1175"/>
      <c r="S81" s="1175"/>
      <c r="T81" s="1175"/>
      <c r="U81" s="1175"/>
      <c r="V81" s="1175"/>
      <c r="W81" s="1175"/>
      <c r="X81" s="1175"/>
      <c r="Y81" s="1175"/>
      <c r="Z81" s="1175"/>
      <c r="AA81" s="1175"/>
      <c r="AB81" s="1175"/>
      <c r="AC81" s="1175"/>
      <c r="AD81" s="1175"/>
      <c r="AE81" s="1175"/>
      <c r="AF81" s="1175"/>
      <c r="AG81" s="1175"/>
      <c r="AH81" s="1175"/>
      <c r="AI81" s="1175"/>
      <c r="AJ81" s="1175"/>
      <c r="AK81" s="1175"/>
      <c r="AL81" s="1175"/>
      <c r="AM81" s="1175"/>
      <c r="AN81" s="1175"/>
      <c r="AO81" s="1175"/>
      <c r="AP81" s="1175"/>
      <c r="AQ81" s="1175"/>
      <c r="AR81" s="1175"/>
      <c r="AS81" s="1175"/>
      <c r="AT81" s="1175"/>
      <c r="AU81" s="1175"/>
      <c r="AV81" s="1175"/>
      <c r="AW81" s="1175"/>
      <c r="AX81" s="1175"/>
      <c r="AY81" s="1176"/>
    </row>
    <row r="82" spans="1:51" x14ac:dyDescent="0.3">
      <c r="A82" s="1161" t="s">
        <v>3634</v>
      </c>
      <c r="B82" s="1162"/>
      <c r="C82" s="1162"/>
      <c r="D82" s="1162"/>
      <c r="E82" s="1162"/>
      <c r="F82" s="1162"/>
      <c r="G82" s="1162"/>
      <c r="H82" s="1162"/>
      <c r="I82" s="1162"/>
      <c r="J82" s="1162"/>
      <c r="K82" s="1162"/>
      <c r="L82" s="1162"/>
      <c r="M82" s="1162"/>
      <c r="N82" s="1162"/>
      <c r="O82" s="1162"/>
      <c r="P82" s="1162"/>
      <c r="Q82" s="1162"/>
      <c r="R82" s="1162"/>
      <c r="S82" s="1162"/>
      <c r="T82" s="1162"/>
      <c r="U82" s="1162"/>
      <c r="V82" s="1162"/>
      <c r="W82" s="1162"/>
      <c r="X82" s="1162"/>
      <c r="Y82" s="1162"/>
      <c r="Z82" s="1162"/>
      <c r="AA82" s="1162"/>
      <c r="AB82" s="1162"/>
      <c r="AC82" s="1162"/>
      <c r="AD82" s="1162"/>
      <c r="AE82" s="1162"/>
      <c r="AF82" s="1162"/>
      <c r="AG82" s="1162"/>
      <c r="AH82" s="1162"/>
      <c r="AI82" s="1162"/>
      <c r="AJ82" s="1162"/>
      <c r="AK82" s="1162"/>
      <c r="AL82" s="1162"/>
      <c r="AM82" s="1162"/>
      <c r="AN82" s="1162"/>
      <c r="AO82" s="1162"/>
      <c r="AP82" s="1162"/>
      <c r="AQ82" s="1162"/>
      <c r="AR82" s="1162"/>
      <c r="AS82" s="1162"/>
      <c r="AT82" s="1162"/>
      <c r="AU82" s="1162"/>
      <c r="AV82" s="1162"/>
      <c r="AW82" s="1162"/>
      <c r="AX82" s="1162"/>
      <c r="AY82" s="1163"/>
    </row>
    <row r="83" spans="1:51" x14ac:dyDescent="0.3">
      <c r="A83" s="1164" t="s">
        <v>3635</v>
      </c>
      <c r="B83" s="1180"/>
      <c r="C83" s="1180"/>
      <c r="D83" s="1180"/>
      <c r="E83" s="1180"/>
      <c r="F83" s="1180"/>
      <c r="G83" s="1180"/>
      <c r="H83" s="1180"/>
      <c r="I83" s="1180"/>
      <c r="J83" s="1180"/>
      <c r="K83" s="1180"/>
      <c r="L83" s="1180"/>
      <c r="M83" s="1180"/>
      <c r="N83" s="1180"/>
      <c r="O83" s="1180"/>
      <c r="P83" s="1180"/>
      <c r="Q83" s="1180"/>
      <c r="R83" s="1180"/>
      <c r="S83" s="1180"/>
      <c r="T83" s="1180"/>
      <c r="U83" s="1180"/>
      <c r="V83" s="1180"/>
      <c r="W83" s="1180"/>
      <c r="X83" s="1180"/>
      <c r="Y83" s="1180"/>
      <c r="Z83" s="1180"/>
      <c r="AA83" s="1180"/>
      <c r="AB83" s="1180"/>
      <c r="AC83" s="1180"/>
      <c r="AD83" s="1180"/>
      <c r="AE83" s="1180"/>
      <c r="AF83" s="1180"/>
      <c r="AG83" s="1180"/>
      <c r="AH83" s="1180"/>
      <c r="AI83" s="1180"/>
      <c r="AJ83" s="1180"/>
      <c r="AK83" s="1180"/>
      <c r="AL83" s="1180"/>
      <c r="AM83" s="1180"/>
      <c r="AN83" s="1180"/>
      <c r="AO83" s="1180"/>
      <c r="AP83" s="1180"/>
      <c r="AQ83" s="1180"/>
      <c r="AR83" s="1180"/>
      <c r="AS83" s="1180"/>
      <c r="AT83" s="1180"/>
      <c r="AU83" s="1180"/>
      <c r="AV83" s="1180"/>
      <c r="AW83" s="1180"/>
      <c r="AX83" s="1180"/>
      <c r="AY83" s="1181"/>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73" t="s">
        <v>3637</v>
      </c>
      <c r="B85" s="1168"/>
      <c r="C85" s="1168"/>
      <c r="D85" s="1168"/>
      <c r="E85" s="1168"/>
      <c r="F85" s="1168"/>
      <c r="G85" s="1168"/>
      <c r="H85" s="1168"/>
      <c r="I85" s="1168"/>
      <c r="J85" s="1168"/>
      <c r="K85" s="1168"/>
      <c r="L85" s="1168"/>
      <c r="M85" s="1168"/>
      <c r="N85" s="1168"/>
      <c r="O85" s="1168"/>
      <c r="P85" s="1168"/>
      <c r="Q85" s="1168"/>
      <c r="R85" s="1168"/>
      <c r="S85" s="1168"/>
      <c r="T85" s="1168"/>
      <c r="U85" s="1168"/>
      <c r="V85" s="1168"/>
      <c r="W85" s="1168"/>
      <c r="X85" s="1168"/>
      <c r="Y85" s="1168"/>
      <c r="Z85" s="1168"/>
      <c r="AA85" s="1168"/>
      <c r="AB85" s="1168"/>
      <c r="AC85" s="1168"/>
      <c r="AD85" s="1168"/>
      <c r="AE85" s="1168"/>
      <c r="AF85" s="1168"/>
      <c r="AG85" s="1168"/>
      <c r="AH85" s="1168"/>
      <c r="AI85" s="1168"/>
      <c r="AJ85" s="1168"/>
      <c r="AK85" s="1168"/>
      <c r="AL85" s="1168"/>
      <c r="AM85" s="1168"/>
      <c r="AN85" s="1168"/>
      <c r="AO85" s="1168"/>
      <c r="AP85" s="1168"/>
      <c r="AQ85" s="1168"/>
      <c r="AR85" s="1168"/>
      <c r="AS85" s="1168"/>
      <c r="AT85" s="1168"/>
      <c r="AU85" s="1168"/>
      <c r="AV85" s="1168"/>
      <c r="AW85" s="1168"/>
      <c r="AX85" s="1168"/>
      <c r="AY85" s="1169"/>
    </row>
    <row r="86" spans="1:51" x14ac:dyDescent="0.3">
      <c r="A86" s="1174" t="s">
        <v>3638</v>
      </c>
      <c r="B86" s="1175"/>
      <c r="C86" s="1175"/>
      <c r="D86" s="1175"/>
      <c r="E86" s="1175"/>
      <c r="F86" s="1175"/>
      <c r="G86" s="1175"/>
      <c r="H86" s="1175"/>
      <c r="I86" s="1175"/>
      <c r="J86" s="1175"/>
      <c r="K86" s="1175"/>
      <c r="L86" s="1175"/>
      <c r="M86" s="1175"/>
      <c r="N86" s="1175"/>
      <c r="O86" s="1175"/>
      <c r="P86" s="1175"/>
      <c r="Q86" s="1175"/>
      <c r="R86" s="1175"/>
      <c r="S86" s="1175"/>
      <c r="T86" s="1175"/>
      <c r="U86" s="1175"/>
      <c r="V86" s="1175"/>
      <c r="W86" s="1175"/>
      <c r="X86" s="1175"/>
      <c r="Y86" s="1175"/>
      <c r="Z86" s="1175"/>
      <c r="AA86" s="1175"/>
      <c r="AB86" s="1175"/>
      <c r="AC86" s="1175"/>
      <c r="AD86" s="1175"/>
      <c r="AE86" s="1175"/>
      <c r="AF86" s="1175"/>
      <c r="AG86" s="1175"/>
      <c r="AH86" s="1175"/>
      <c r="AI86" s="1175"/>
      <c r="AJ86" s="1175"/>
      <c r="AK86" s="1175"/>
      <c r="AL86" s="1175"/>
      <c r="AM86" s="1175"/>
      <c r="AN86" s="1175"/>
      <c r="AO86" s="1175"/>
      <c r="AP86" s="1175"/>
      <c r="AQ86" s="1175"/>
      <c r="AR86" s="1175"/>
      <c r="AS86" s="1175"/>
      <c r="AT86" s="1175"/>
      <c r="AU86" s="1175"/>
      <c r="AV86" s="1175"/>
      <c r="AW86" s="1175"/>
      <c r="AX86" s="1175"/>
      <c r="AY86" s="1176"/>
    </row>
    <row r="87" spans="1:51" x14ac:dyDescent="0.3">
      <c r="A87" s="1177" t="s">
        <v>3639</v>
      </c>
      <c r="B87" s="1178"/>
      <c r="C87" s="1178"/>
      <c r="D87" s="1178"/>
      <c r="E87" s="1178"/>
      <c r="F87" s="1178"/>
      <c r="G87" s="1178"/>
      <c r="H87" s="1178"/>
      <c r="I87" s="1178"/>
      <c r="J87" s="1178"/>
      <c r="K87" s="1178"/>
      <c r="L87" s="1178"/>
      <c r="M87" s="1178"/>
      <c r="N87" s="1178"/>
      <c r="O87" s="1178"/>
      <c r="P87" s="1178"/>
      <c r="Q87" s="1178"/>
      <c r="R87" s="1178"/>
      <c r="S87" s="1178"/>
      <c r="T87" s="1178"/>
      <c r="U87" s="1178"/>
      <c r="V87" s="1178"/>
      <c r="W87" s="1178"/>
      <c r="X87" s="1178"/>
      <c r="Y87" s="1178"/>
      <c r="Z87" s="1178"/>
      <c r="AA87" s="1178"/>
      <c r="AB87" s="1178"/>
      <c r="AC87" s="1178"/>
      <c r="AD87" s="1178"/>
      <c r="AE87" s="1178"/>
      <c r="AF87" s="1178"/>
      <c r="AG87" s="1178"/>
      <c r="AH87" s="1178"/>
      <c r="AI87" s="1178"/>
      <c r="AJ87" s="1178"/>
      <c r="AK87" s="1178"/>
      <c r="AL87" s="1178"/>
      <c r="AM87" s="1178"/>
      <c r="AN87" s="1178"/>
      <c r="AO87" s="1178"/>
      <c r="AP87" s="1178"/>
      <c r="AQ87" s="1178"/>
      <c r="AR87" s="1178"/>
      <c r="AS87" s="1178"/>
      <c r="AT87" s="1178"/>
      <c r="AU87" s="1178"/>
      <c r="AV87" s="1178"/>
      <c r="AW87" s="1178"/>
      <c r="AX87" s="1178"/>
      <c r="AY87" s="1179"/>
    </row>
    <row r="88" spans="1:51" x14ac:dyDescent="0.3">
      <c r="A88" s="1164" t="s">
        <v>3640</v>
      </c>
      <c r="B88" s="1165"/>
      <c r="C88" s="1165"/>
      <c r="D88" s="1165"/>
      <c r="E88" s="1165"/>
      <c r="F88" s="1165"/>
      <c r="G88" s="1165"/>
      <c r="H88" s="1165"/>
      <c r="I88" s="1165"/>
      <c r="J88" s="1165"/>
      <c r="K88" s="1165"/>
      <c r="L88" s="1165"/>
      <c r="M88" s="1165"/>
      <c r="N88" s="1165"/>
      <c r="O88" s="1165"/>
      <c r="P88" s="1165"/>
      <c r="Q88" s="1165"/>
      <c r="R88" s="1165"/>
      <c r="S88" s="1165"/>
      <c r="T88" s="1165"/>
      <c r="U88" s="1165"/>
      <c r="V88" s="1165"/>
      <c r="W88" s="1165"/>
      <c r="X88" s="1165"/>
      <c r="Y88" s="1165"/>
      <c r="Z88" s="1165"/>
      <c r="AA88" s="1165"/>
      <c r="AB88" s="1165"/>
      <c r="AC88" s="1165"/>
      <c r="AD88" s="1165"/>
      <c r="AE88" s="1165"/>
      <c r="AF88" s="1165"/>
      <c r="AG88" s="1165"/>
      <c r="AH88" s="1165"/>
      <c r="AI88" s="1165"/>
      <c r="AJ88" s="1165"/>
      <c r="AK88" s="1165"/>
      <c r="AL88" s="1165"/>
      <c r="AM88" s="1165"/>
      <c r="AN88" s="1165"/>
      <c r="AO88" s="1165"/>
      <c r="AP88" s="1165"/>
      <c r="AQ88" s="1165"/>
      <c r="AR88" s="1165"/>
      <c r="AS88" s="1165"/>
      <c r="AT88" s="1165"/>
      <c r="AU88" s="1165"/>
      <c r="AV88" s="1165"/>
      <c r="AW88" s="1165"/>
      <c r="AX88" s="1165"/>
      <c r="AY88" s="1166"/>
    </row>
    <row r="89" spans="1:51" x14ac:dyDescent="0.3">
      <c r="A89" s="1161" t="s">
        <v>3641</v>
      </c>
      <c r="B89" s="1162"/>
      <c r="C89" s="1162"/>
      <c r="D89" s="1162"/>
      <c r="E89" s="1162"/>
      <c r="F89" s="1162"/>
      <c r="G89" s="1162"/>
      <c r="H89" s="1162"/>
      <c r="I89" s="1162"/>
      <c r="J89" s="1162"/>
      <c r="K89" s="1162"/>
      <c r="L89" s="1162"/>
      <c r="M89" s="1162"/>
      <c r="N89" s="1162"/>
      <c r="O89" s="1162"/>
      <c r="P89" s="1162"/>
      <c r="Q89" s="1162"/>
      <c r="R89" s="1162"/>
      <c r="S89" s="1162"/>
      <c r="T89" s="1162"/>
      <c r="U89" s="1162"/>
      <c r="V89" s="1162"/>
      <c r="W89" s="1162"/>
      <c r="X89" s="1162"/>
      <c r="Y89" s="1162"/>
      <c r="Z89" s="1162"/>
      <c r="AA89" s="1162"/>
      <c r="AB89" s="1162"/>
      <c r="AC89" s="1162"/>
      <c r="AD89" s="1162"/>
      <c r="AE89" s="1162"/>
      <c r="AF89" s="1162"/>
      <c r="AG89" s="1162"/>
      <c r="AH89" s="1162"/>
      <c r="AI89" s="1162"/>
      <c r="AJ89" s="1162"/>
      <c r="AK89" s="1162"/>
      <c r="AL89" s="1162"/>
      <c r="AM89" s="1162"/>
      <c r="AN89" s="1162"/>
      <c r="AO89" s="1162"/>
      <c r="AP89" s="1162"/>
      <c r="AQ89" s="1162"/>
      <c r="AR89" s="1162"/>
      <c r="AS89" s="1162"/>
      <c r="AT89" s="1162"/>
      <c r="AU89" s="1162"/>
      <c r="AV89" s="1162"/>
      <c r="AW89" s="1162"/>
      <c r="AX89" s="1162"/>
      <c r="AY89" s="1163"/>
    </row>
    <row r="90" spans="1:51" x14ac:dyDescent="0.3">
      <c r="A90" s="1164" t="s">
        <v>3642</v>
      </c>
      <c r="B90" s="1165"/>
      <c r="C90" s="1165"/>
      <c r="D90" s="1165"/>
      <c r="E90" s="1165"/>
      <c r="F90" s="1165"/>
      <c r="G90" s="1165"/>
      <c r="H90" s="1165"/>
      <c r="I90" s="1165"/>
      <c r="J90" s="1165"/>
      <c r="K90" s="1165"/>
      <c r="L90" s="1165"/>
      <c r="M90" s="1165"/>
      <c r="N90" s="1165"/>
      <c r="O90" s="1165"/>
      <c r="P90" s="1165"/>
      <c r="Q90" s="1165"/>
      <c r="R90" s="1165"/>
      <c r="S90" s="1165"/>
      <c r="T90" s="1165"/>
      <c r="U90" s="1165"/>
      <c r="V90" s="1165"/>
      <c r="W90" s="1165"/>
      <c r="X90" s="1165"/>
      <c r="Y90" s="1165"/>
      <c r="Z90" s="1165"/>
      <c r="AA90" s="1165"/>
      <c r="AB90" s="1165"/>
      <c r="AC90" s="1165"/>
      <c r="AD90" s="1165"/>
      <c r="AE90" s="1165"/>
      <c r="AF90" s="1165"/>
      <c r="AG90" s="1165"/>
      <c r="AH90" s="1165"/>
      <c r="AI90" s="1165"/>
      <c r="AJ90" s="1165"/>
      <c r="AK90" s="1165"/>
      <c r="AL90" s="1165"/>
      <c r="AM90" s="1165"/>
      <c r="AN90" s="1165"/>
      <c r="AO90" s="1165"/>
      <c r="AP90" s="1165"/>
      <c r="AQ90" s="1165"/>
      <c r="AR90" s="1165"/>
      <c r="AS90" s="1165"/>
      <c r="AT90" s="1165"/>
      <c r="AU90" s="1165"/>
      <c r="AV90" s="1165"/>
      <c r="AW90" s="1165"/>
      <c r="AX90" s="1165"/>
      <c r="AY90" s="1166"/>
    </row>
    <row r="91" spans="1:51" x14ac:dyDescent="0.3">
      <c r="A91" s="1161" t="s">
        <v>3643</v>
      </c>
      <c r="B91" s="1162"/>
      <c r="C91" s="1162"/>
      <c r="D91" s="1162"/>
      <c r="E91" s="1162"/>
      <c r="F91" s="1162"/>
      <c r="G91" s="1162"/>
      <c r="H91" s="1162"/>
      <c r="I91" s="1162"/>
      <c r="J91" s="1162"/>
      <c r="K91" s="1162"/>
      <c r="L91" s="1162"/>
      <c r="M91" s="1162"/>
      <c r="N91" s="1162"/>
      <c r="O91" s="1162"/>
      <c r="P91" s="1162"/>
      <c r="Q91" s="1162"/>
      <c r="R91" s="1162"/>
      <c r="S91" s="1162"/>
      <c r="T91" s="1162"/>
      <c r="U91" s="1162"/>
      <c r="V91" s="1162"/>
      <c r="W91" s="1162"/>
      <c r="X91" s="1162"/>
      <c r="Y91" s="1162"/>
      <c r="Z91" s="1162"/>
      <c r="AA91" s="1162"/>
      <c r="AB91" s="1162"/>
      <c r="AC91" s="1162"/>
      <c r="AD91" s="1162"/>
      <c r="AE91" s="1162"/>
      <c r="AF91" s="1162"/>
      <c r="AG91" s="1162"/>
      <c r="AH91" s="1162"/>
      <c r="AI91" s="1162"/>
      <c r="AJ91" s="1162"/>
      <c r="AK91" s="1162"/>
      <c r="AL91" s="1162"/>
      <c r="AM91" s="1162"/>
      <c r="AN91" s="1162"/>
      <c r="AO91" s="1162"/>
      <c r="AP91" s="1162"/>
      <c r="AQ91" s="1162"/>
      <c r="AR91" s="1162"/>
      <c r="AS91" s="1162"/>
      <c r="AT91" s="1162"/>
      <c r="AU91" s="1162"/>
      <c r="AV91" s="1162"/>
      <c r="AW91" s="1162"/>
      <c r="AX91" s="1162"/>
      <c r="AY91" s="1163"/>
    </row>
    <row r="92" spans="1:51" x14ac:dyDescent="0.3">
      <c r="A92" s="1164" t="s">
        <v>3644</v>
      </c>
      <c r="B92" s="1165"/>
      <c r="C92" s="1165"/>
      <c r="D92" s="1165"/>
      <c r="E92" s="1165"/>
      <c r="F92" s="1165"/>
      <c r="G92" s="1165"/>
      <c r="H92" s="1165"/>
      <c r="I92" s="1165"/>
      <c r="J92" s="1165"/>
      <c r="K92" s="1165"/>
      <c r="L92" s="1165"/>
      <c r="M92" s="1165"/>
      <c r="N92" s="1165"/>
      <c r="O92" s="1165"/>
      <c r="P92" s="1165"/>
      <c r="Q92" s="1165"/>
      <c r="R92" s="1165"/>
      <c r="S92" s="1165"/>
      <c r="T92" s="1165"/>
      <c r="U92" s="1165"/>
      <c r="V92" s="1165"/>
      <c r="W92" s="1165"/>
      <c r="X92" s="1165"/>
      <c r="Y92" s="1165"/>
      <c r="Z92" s="1165"/>
      <c r="AA92" s="1165"/>
      <c r="AB92" s="1165"/>
      <c r="AC92" s="1165"/>
      <c r="AD92" s="1165"/>
      <c r="AE92" s="1165"/>
      <c r="AF92" s="1165"/>
      <c r="AG92" s="1165"/>
      <c r="AH92" s="1165"/>
      <c r="AI92" s="1165"/>
      <c r="AJ92" s="1165"/>
      <c r="AK92" s="1165"/>
      <c r="AL92" s="1165"/>
      <c r="AM92" s="1165"/>
      <c r="AN92" s="1165"/>
      <c r="AO92" s="1165"/>
      <c r="AP92" s="1165"/>
      <c r="AQ92" s="1165"/>
      <c r="AR92" s="1165"/>
      <c r="AS92" s="1165"/>
      <c r="AT92" s="1165"/>
      <c r="AU92" s="1165"/>
      <c r="AV92" s="1165"/>
      <c r="AW92" s="1165"/>
      <c r="AX92" s="1165"/>
      <c r="AY92" s="1166"/>
    </row>
    <row r="93" spans="1:51" x14ac:dyDescent="0.3">
      <c r="A93" s="1161" t="s">
        <v>3645</v>
      </c>
      <c r="B93" s="1162"/>
      <c r="C93" s="1162"/>
      <c r="D93" s="1162"/>
      <c r="E93" s="1162"/>
      <c r="F93" s="1162"/>
      <c r="G93" s="1162"/>
      <c r="H93" s="1162"/>
      <c r="I93" s="1162"/>
      <c r="J93" s="1162"/>
      <c r="K93" s="1162"/>
      <c r="L93" s="1162"/>
      <c r="M93" s="1162"/>
      <c r="N93" s="1162"/>
      <c r="O93" s="1162"/>
      <c r="P93" s="1162"/>
      <c r="Q93" s="1162"/>
      <c r="R93" s="1162"/>
      <c r="S93" s="1162"/>
      <c r="T93" s="1162"/>
      <c r="U93" s="1162"/>
      <c r="V93" s="1162"/>
      <c r="W93" s="1162"/>
      <c r="X93" s="1162"/>
      <c r="Y93" s="1162"/>
      <c r="Z93" s="1162"/>
      <c r="AA93" s="1162"/>
      <c r="AB93" s="1162"/>
      <c r="AC93" s="1162"/>
      <c r="AD93" s="1162"/>
      <c r="AE93" s="1162"/>
      <c r="AF93" s="1162"/>
      <c r="AG93" s="1162"/>
      <c r="AH93" s="1162"/>
      <c r="AI93" s="1162"/>
      <c r="AJ93" s="1162"/>
      <c r="AK93" s="1162"/>
      <c r="AL93" s="1162"/>
      <c r="AM93" s="1162"/>
      <c r="AN93" s="1162"/>
      <c r="AO93" s="1162"/>
      <c r="AP93" s="1162"/>
      <c r="AQ93" s="1162"/>
      <c r="AR93" s="1162"/>
      <c r="AS93" s="1162"/>
      <c r="AT93" s="1162"/>
      <c r="AU93" s="1162"/>
      <c r="AV93" s="1162"/>
      <c r="AW93" s="1162"/>
      <c r="AX93" s="1162"/>
      <c r="AY93" s="1163"/>
    </row>
    <row r="94" spans="1:51" x14ac:dyDescent="0.3">
      <c r="A94" s="1164" t="s">
        <v>3646</v>
      </c>
      <c r="B94" s="1165"/>
      <c r="C94" s="1165"/>
      <c r="D94" s="1165"/>
      <c r="E94" s="1165"/>
      <c r="F94" s="1165"/>
      <c r="G94" s="1165"/>
      <c r="H94" s="1165"/>
      <c r="I94" s="1165"/>
      <c r="J94" s="1165"/>
      <c r="K94" s="1165"/>
      <c r="L94" s="1165"/>
      <c r="M94" s="1165"/>
      <c r="N94" s="1165"/>
      <c r="O94" s="1165"/>
      <c r="P94" s="1165"/>
      <c r="Q94" s="1165"/>
      <c r="R94" s="1165"/>
      <c r="S94" s="1165"/>
      <c r="T94" s="1165"/>
      <c r="U94" s="1165"/>
      <c r="V94" s="1165"/>
      <c r="W94" s="1165"/>
      <c r="X94" s="1165"/>
      <c r="Y94" s="1165"/>
      <c r="Z94" s="1165"/>
      <c r="AA94" s="1165"/>
      <c r="AB94" s="1165"/>
      <c r="AC94" s="1165"/>
      <c r="AD94" s="1165"/>
      <c r="AE94" s="1165"/>
      <c r="AF94" s="1165"/>
      <c r="AG94" s="1165"/>
      <c r="AH94" s="1165"/>
      <c r="AI94" s="1165"/>
      <c r="AJ94" s="1165"/>
      <c r="AK94" s="1165"/>
      <c r="AL94" s="1165"/>
      <c r="AM94" s="1165"/>
      <c r="AN94" s="1165"/>
      <c r="AO94" s="1165"/>
      <c r="AP94" s="1165"/>
      <c r="AQ94" s="1165"/>
      <c r="AR94" s="1165"/>
      <c r="AS94" s="1165"/>
      <c r="AT94" s="1165"/>
      <c r="AU94" s="1165"/>
      <c r="AV94" s="1165"/>
      <c r="AW94" s="1165"/>
      <c r="AX94" s="1165"/>
      <c r="AY94" s="1166"/>
    </row>
    <row r="95" spans="1:51" x14ac:dyDescent="0.3">
      <c r="A95" s="1161" t="s">
        <v>3647</v>
      </c>
      <c r="B95" s="1162"/>
      <c r="C95" s="1162"/>
      <c r="D95" s="1162"/>
      <c r="E95" s="1162"/>
      <c r="F95" s="1162"/>
      <c r="G95" s="1162"/>
      <c r="H95" s="1162"/>
      <c r="I95" s="1162"/>
      <c r="J95" s="1162"/>
      <c r="K95" s="1162"/>
      <c r="L95" s="1162"/>
      <c r="M95" s="1162"/>
      <c r="N95" s="1162"/>
      <c r="O95" s="1162"/>
      <c r="P95" s="1162"/>
      <c r="Q95" s="1162"/>
      <c r="R95" s="1162"/>
      <c r="S95" s="1162"/>
      <c r="T95" s="1162"/>
      <c r="U95" s="1162"/>
      <c r="V95" s="1162"/>
      <c r="W95" s="1162"/>
      <c r="X95" s="1162"/>
      <c r="Y95" s="1162"/>
      <c r="Z95" s="1162"/>
      <c r="AA95" s="1162"/>
      <c r="AB95" s="1162"/>
      <c r="AC95" s="1162"/>
      <c r="AD95" s="1162"/>
      <c r="AE95" s="1162"/>
      <c r="AF95" s="1162"/>
      <c r="AG95" s="1162"/>
      <c r="AH95" s="1162"/>
      <c r="AI95" s="1162"/>
      <c r="AJ95" s="1162"/>
      <c r="AK95" s="1162"/>
      <c r="AL95" s="1162"/>
      <c r="AM95" s="1162"/>
      <c r="AN95" s="1162"/>
      <c r="AO95" s="1162"/>
      <c r="AP95" s="1162"/>
      <c r="AQ95" s="1162"/>
      <c r="AR95" s="1162"/>
      <c r="AS95" s="1162"/>
      <c r="AT95" s="1162"/>
      <c r="AU95" s="1162"/>
      <c r="AV95" s="1162"/>
      <c r="AW95" s="1162"/>
      <c r="AX95" s="1162"/>
      <c r="AY95" s="1163"/>
    </row>
    <row r="96" spans="1:51" x14ac:dyDescent="0.3">
      <c r="A96" s="1164" t="s">
        <v>3648</v>
      </c>
      <c r="B96" s="1165"/>
      <c r="C96" s="1165"/>
      <c r="D96" s="1165"/>
      <c r="E96" s="1165"/>
      <c r="F96" s="1165"/>
      <c r="G96" s="1165"/>
      <c r="H96" s="1165"/>
      <c r="I96" s="1165"/>
      <c r="J96" s="1165"/>
      <c r="K96" s="1165"/>
      <c r="L96" s="1165"/>
      <c r="M96" s="1165"/>
      <c r="N96" s="1165"/>
      <c r="O96" s="1165"/>
      <c r="P96" s="1165"/>
      <c r="Q96" s="1165"/>
      <c r="R96" s="1165"/>
      <c r="S96" s="1165"/>
      <c r="T96" s="1165"/>
      <c r="U96" s="1165"/>
      <c r="V96" s="1165"/>
      <c r="W96" s="1165"/>
      <c r="X96" s="1165"/>
      <c r="Y96" s="1165"/>
      <c r="Z96" s="1165"/>
      <c r="AA96" s="1165"/>
      <c r="AB96" s="1165"/>
      <c r="AC96" s="1165"/>
      <c r="AD96" s="1165"/>
      <c r="AE96" s="1165"/>
      <c r="AF96" s="1165"/>
      <c r="AG96" s="1165"/>
      <c r="AH96" s="1165"/>
      <c r="AI96" s="1165"/>
      <c r="AJ96" s="1165"/>
      <c r="AK96" s="1165"/>
      <c r="AL96" s="1165"/>
      <c r="AM96" s="1165"/>
      <c r="AN96" s="1165"/>
      <c r="AO96" s="1165"/>
      <c r="AP96" s="1165"/>
      <c r="AQ96" s="1165"/>
      <c r="AR96" s="1165"/>
      <c r="AS96" s="1165"/>
      <c r="AT96" s="1165"/>
      <c r="AU96" s="1165"/>
      <c r="AV96" s="1165"/>
      <c r="AW96" s="1165"/>
      <c r="AX96" s="1165"/>
      <c r="AY96" s="1166"/>
    </row>
    <row r="97" spans="1:51" x14ac:dyDescent="0.3">
      <c r="A97" s="1161" t="s">
        <v>3649</v>
      </c>
      <c r="B97" s="1162"/>
      <c r="C97" s="1162"/>
      <c r="D97" s="1162"/>
      <c r="E97" s="1162"/>
      <c r="F97" s="1162"/>
      <c r="G97" s="1162"/>
      <c r="H97" s="1162"/>
      <c r="I97" s="1162"/>
      <c r="J97" s="1162"/>
      <c r="K97" s="1162"/>
      <c r="L97" s="1162"/>
      <c r="M97" s="1162"/>
      <c r="N97" s="1162"/>
      <c r="O97" s="1162"/>
      <c r="P97" s="1162"/>
      <c r="Q97" s="1162"/>
      <c r="R97" s="1162"/>
      <c r="S97" s="1162"/>
      <c r="T97" s="1162"/>
      <c r="U97" s="1162"/>
      <c r="V97" s="1162"/>
      <c r="W97" s="1162"/>
      <c r="X97" s="1162"/>
      <c r="Y97" s="1162"/>
      <c r="Z97" s="1162"/>
      <c r="AA97" s="1162"/>
      <c r="AB97" s="1162"/>
      <c r="AC97" s="1162"/>
      <c r="AD97" s="1162"/>
      <c r="AE97" s="1162"/>
      <c r="AF97" s="1162"/>
      <c r="AG97" s="1162"/>
      <c r="AH97" s="1162"/>
      <c r="AI97" s="1162"/>
      <c r="AJ97" s="1162"/>
      <c r="AK97" s="1162"/>
      <c r="AL97" s="1162"/>
      <c r="AM97" s="1162"/>
      <c r="AN97" s="1162"/>
      <c r="AO97" s="1162"/>
      <c r="AP97" s="1162"/>
      <c r="AQ97" s="1162"/>
      <c r="AR97" s="1162"/>
      <c r="AS97" s="1162"/>
      <c r="AT97" s="1162"/>
      <c r="AU97" s="1162"/>
      <c r="AV97" s="1162"/>
      <c r="AW97" s="1162"/>
      <c r="AX97" s="1162"/>
      <c r="AY97" s="1163"/>
    </row>
    <row r="98" spans="1:51" x14ac:dyDescent="0.3">
      <c r="A98" s="1164" t="s">
        <v>3650</v>
      </c>
      <c r="B98" s="1165"/>
      <c r="C98" s="1165"/>
      <c r="D98" s="1165"/>
      <c r="E98" s="1165"/>
      <c r="F98" s="1165"/>
      <c r="G98" s="1165"/>
      <c r="H98" s="1165"/>
      <c r="I98" s="1165"/>
      <c r="J98" s="1165"/>
      <c r="K98" s="1165"/>
      <c r="L98" s="1165"/>
      <c r="M98" s="1165"/>
      <c r="N98" s="1165"/>
      <c r="O98" s="1165"/>
      <c r="P98" s="1165"/>
      <c r="Q98" s="1165"/>
      <c r="R98" s="1165"/>
      <c r="S98" s="1165"/>
      <c r="T98" s="1165"/>
      <c r="U98" s="1165"/>
      <c r="V98" s="1165"/>
      <c r="W98" s="1165"/>
      <c r="X98" s="1165"/>
      <c r="Y98" s="1165"/>
      <c r="Z98" s="1165"/>
      <c r="AA98" s="1165"/>
      <c r="AB98" s="1165"/>
      <c r="AC98" s="1165"/>
      <c r="AD98" s="1165"/>
      <c r="AE98" s="1165"/>
      <c r="AF98" s="1165"/>
      <c r="AG98" s="1165"/>
      <c r="AH98" s="1165"/>
      <c r="AI98" s="1165"/>
      <c r="AJ98" s="1165"/>
      <c r="AK98" s="1165"/>
      <c r="AL98" s="1165"/>
      <c r="AM98" s="1165"/>
      <c r="AN98" s="1165"/>
      <c r="AO98" s="1165"/>
      <c r="AP98" s="1165"/>
      <c r="AQ98" s="1165"/>
      <c r="AR98" s="1165"/>
      <c r="AS98" s="1165"/>
      <c r="AT98" s="1165"/>
      <c r="AU98" s="1165"/>
      <c r="AV98" s="1165"/>
      <c r="AW98" s="1165"/>
      <c r="AX98" s="1165"/>
      <c r="AY98" s="1166"/>
    </row>
    <row r="99" spans="1:51" x14ac:dyDescent="0.3">
      <c r="A99" s="1161" t="s">
        <v>3651</v>
      </c>
      <c r="B99" s="1162"/>
      <c r="C99" s="1162"/>
      <c r="D99" s="1162"/>
      <c r="E99" s="1162"/>
      <c r="F99" s="1162"/>
      <c r="G99" s="1162"/>
      <c r="H99" s="1162"/>
      <c r="I99" s="1162"/>
      <c r="J99" s="1162"/>
      <c r="K99" s="1162"/>
      <c r="L99" s="1162"/>
      <c r="M99" s="1162"/>
      <c r="N99" s="1162"/>
      <c r="O99" s="1162"/>
      <c r="P99" s="1162"/>
      <c r="Q99" s="1162"/>
      <c r="R99" s="1162"/>
      <c r="S99" s="1162"/>
      <c r="T99" s="1162"/>
      <c r="U99" s="1162"/>
      <c r="V99" s="1162"/>
      <c r="W99" s="1162"/>
      <c r="X99" s="1162"/>
      <c r="Y99" s="1162"/>
      <c r="Z99" s="1162"/>
      <c r="AA99" s="1162"/>
      <c r="AB99" s="1162"/>
      <c r="AC99" s="1162"/>
      <c r="AD99" s="1162"/>
      <c r="AE99" s="1162"/>
      <c r="AF99" s="1162"/>
      <c r="AG99" s="1162"/>
      <c r="AH99" s="1162"/>
      <c r="AI99" s="1162"/>
      <c r="AJ99" s="1162"/>
      <c r="AK99" s="1162"/>
      <c r="AL99" s="1162"/>
      <c r="AM99" s="1162"/>
      <c r="AN99" s="1162"/>
      <c r="AO99" s="1162"/>
      <c r="AP99" s="1162"/>
      <c r="AQ99" s="1162"/>
      <c r="AR99" s="1162"/>
      <c r="AS99" s="1162"/>
      <c r="AT99" s="1162"/>
      <c r="AU99" s="1162"/>
      <c r="AV99" s="1162"/>
      <c r="AW99" s="1162"/>
      <c r="AX99" s="1162"/>
      <c r="AY99" s="1163"/>
    </row>
    <row r="100" spans="1:51" x14ac:dyDescent="0.3">
      <c r="A100" s="1164" t="s">
        <v>3652</v>
      </c>
      <c r="B100" s="1165"/>
      <c r="C100" s="1165"/>
      <c r="D100" s="1165"/>
      <c r="E100" s="1165"/>
      <c r="F100" s="1165"/>
      <c r="G100" s="1165"/>
      <c r="H100" s="1165"/>
      <c r="I100" s="1165"/>
      <c r="J100" s="1165"/>
      <c r="K100" s="1165"/>
      <c r="L100" s="1165"/>
      <c r="M100" s="1165"/>
      <c r="N100" s="1165"/>
      <c r="O100" s="1165"/>
      <c r="P100" s="1165"/>
      <c r="Q100" s="1165"/>
      <c r="R100" s="1165"/>
      <c r="S100" s="1165"/>
      <c r="T100" s="1165"/>
      <c r="U100" s="1165"/>
      <c r="V100" s="1165"/>
      <c r="W100" s="1165"/>
      <c r="X100" s="1165"/>
      <c r="Y100" s="1165"/>
      <c r="Z100" s="1165"/>
      <c r="AA100" s="1165"/>
      <c r="AB100" s="1165"/>
      <c r="AC100" s="1165"/>
      <c r="AD100" s="1165"/>
      <c r="AE100" s="1165"/>
      <c r="AF100" s="1165"/>
      <c r="AG100" s="1165"/>
      <c r="AH100" s="1165"/>
      <c r="AI100" s="1165"/>
      <c r="AJ100" s="1165"/>
      <c r="AK100" s="1165"/>
      <c r="AL100" s="1165"/>
      <c r="AM100" s="1165"/>
      <c r="AN100" s="1165"/>
      <c r="AO100" s="1165"/>
      <c r="AP100" s="1165"/>
      <c r="AQ100" s="1165"/>
      <c r="AR100" s="1165"/>
      <c r="AS100" s="1165"/>
      <c r="AT100" s="1165"/>
      <c r="AU100" s="1165"/>
      <c r="AV100" s="1165"/>
      <c r="AW100" s="1165"/>
      <c r="AX100" s="1165"/>
      <c r="AY100" s="1166"/>
    </row>
    <row r="101" spans="1:51" x14ac:dyDescent="0.3">
      <c r="A101" s="1161" t="s">
        <v>3653</v>
      </c>
      <c r="B101" s="1162"/>
      <c r="C101" s="1162"/>
      <c r="D101" s="1162"/>
      <c r="E101" s="1162"/>
      <c r="F101" s="1162"/>
      <c r="G101" s="1162"/>
      <c r="H101" s="1162"/>
      <c r="I101" s="1162"/>
      <c r="J101" s="1162"/>
      <c r="K101" s="1162"/>
      <c r="L101" s="1162"/>
      <c r="M101" s="1162"/>
      <c r="N101" s="1162"/>
      <c r="O101" s="1162"/>
      <c r="P101" s="1162"/>
      <c r="Q101" s="1162"/>
      <c r="R101" s="1162"/>
      <c r="S101" s="1162"/>
      <c r="T101" s="1162"/>
      <c r="U101" s="1162"/>
      <c r="V101" s="1162"/>
      <c r="W101" s="1162"/>
      <c r="X101" s="1162"/>
      <c r="Y101" s="1162"/>
      <c r="Z101" s="1162"/>
      <c r="AA101" s="1162"/>
      <c r="AB101" s="1162"/>
      <c r="AC101" s="1162"/>
      <c r="AD101" s="1162"/>
      <c r="AE101" s="1162"/>
      <c r="AF101" s="1162"/>
      <c r="AG101" s="1162"/>
      <c r="AH101" s="1162"/>
      <c r="AI101" s="1162"/>
      <c r="AJ101" s="1162"/>
      <c r="AK101" s="1162"/>
      <c r="AL101" s="1162"/>
      <c r="AM101" s="1162"/>
      <c r="AN101" s="1162"/>
      <c r="AO101" s="1162"/>
      <c r="AP101" s="1162"/>
      <c r="AQ101" s="1162"/>
      <c r="AR101" s="1162"/>
      <c r="AS101" s="1162"/>
      <c r="AT101" s="1162"/>
      <c r="AU101" s="1162"/>
      <c r="AV101" s="1162"/>
      <c r="AW101" s="1162"/>
      <c r="AX101" s="1162"/>
      <c r="AY101" s="1163"/>
    </row>
    <row r="102" spans="1:51" x14ac:dyDescent="0.3">
      <c r="A102" s="1164" t="s">
        <v>3654</v>
      </c>
      <c r="B102" s="1165"/>
      <c r="C102" s="1165"/>
      <c r="D102" s="1165"/>
      <c r="E102" s="1165"/>
      <c r="F102" s="1165"/>
      <c r="G102" s="1165"/>
      <c r="H102" s="1165"/>
      <c r="I102" s="1165"/>
      <c r="J102" s="1165"/>
      <c r="K102" s="1165"/>
      <c r="L102" s="1165"/>
      <c r="M102" s="1165"/>
      <c r="N102" s="1165"/>
      <c r="O102" s="1165"/>
      <c r="P102" s="1165"/>
      <c r="Q102" s="1165"/>
      <c r="R102" s="1165"/>
      <c r="S102" s="1165"/>
      <c r="T102" s="1165"/>
      <c r="U102" s="1165"/>
      <c r="V102" s="1165"/>
      <c r="W102" s="1165"/>
      <c r="X102" s="1165"/>
      <c r="Y102" s="1165"/>
      <c r="Z102" s="1165"/>
      <c r="AA102" s="1165"/>
      <c r="AB102" s="1165"/>
      <c r="AC102" s="1165"/>
      <c r="AD102" s="1165"/>
      <c r="AE102" s="1165"/>
      <c r="AF102" s="1165"/>
      <c r="AG102" s="1165"/>
      <c r="AH102" s="1165"/>
      <c r="AI102" s="1165"/>
      <c r="AJ102" s="1165"/>
      <c r="AK102" s="1165"/>
      <c r="AL102" s="1165"/>
      <c r="AM102" s="1165"/>
      <c r="AN102" s="1165"/>
      <c r="AO102" s="1165"/>
      <c r="AP102" s="1165"/>
      <c r="AQ102" s="1165"/>
      <c r="AR102" s="1165"/>
      <c r="AS102" s="1165"/>
      <c r="AT102" s="1165"/>
      <c r="AU102" s="1165"/>
      <c r="AV102" s="1165"/>
      <c r="AW102" s="1165"/>
      <c r="AX102" s="1165"/>
      <c r="AY102" s="1166"/>
    </row>
    <row r="103" spans="1:51" x14ac:dyDescent="0.3">
      <c r="A103" s="1161" t="s">
        <v>3655</v>
      </c>
      <c r="B103" s="1162"/>
      <c r="C103" s="1162"/>
      <c r="D103" s="1162"/>
      <c r="E103" s="1162"/>
      <c r="F103" s="1162"/>
      <c r="G103" s="1162"/>
      <c r="H103" s="1162"/>
      <c r="I103" s="1162"/>
      <c r="J103" s="1162"/>
      <c r="K103" s="1162"/>
      <c r="L103" s="1162"/>
      <c r="M103" s="1162"/>
      <c r="N103" s="1162"/>
      <c r="O103" s="1162"/>
      <c r="P103" s="1162"/>
      <c r="Q103" s="1162"/>
      <c r="R103" s="1162"/>
      <c r="S103" s="1162"/>
      <c r="T103" s="1162"/>
      <c r="U103" s="1162"/>
      <c r="V103" s="1162"/>
      <c r="W103" s="1162"/>
      <c r="X103" s="1162"/>
      <c r="Y103" s="1162"/>
      <c r="Z103" s="1162"/>
      <c r="AA103" s="1162"/>
      <c r="AB103" s="1162"/>
      <c r="AC103" s="1162"/>
      <c r="AD103" s="1162"/>
      <c r="AE103" s="1162"/>
      <c r="AF103" s="1162"/>
      <c r="AG103" s="1162"/>
      <c r="AH103" s="1162"/>
      <c r="AI103" s="1162"/>
      <c r="AJ103" s="1162"/>
      <c r="AK103" s="1162"/>
      <c r="AL103" s="1162"/>
      <c r="AM103" s="1162"/>
      <c r="AN103" s="1162"/>
      <c r="AO103" s="1162"/>
      <c r="AP103" s="1162"/>
      <c r="AQ103" s="1162"/>
      <c r="AR103" s="1162"/>
      <c r="AS103" s="1162"/>
      <c r="AT103" s="1162"/>
      <c r="AU103" s="1162"/>
      <c r="AV103" s="1162"/>
      <c r="AW103" s="1162"/>
      <c r="AX103" s="1162"/>
      <c r="AY103" s="1163"/>
    </row>
    <row r="104" spans="1:51" x14ac:dyDescent="0.3">
      <c r="A104" s="1164" t="s">
        <v>3656</v>
      </c>
      <c r="B104" s="1165"/>
      <c r="C104" s="1165"/>
      <c r="D104" s="1165"/>
      <c r="E104" s="1165"/>
      <c r="F104" s="1165"/>
      <c r="G104" s="1165"/>
      <c r="H104" s="1165"/>
      <c r="I104" s="1165"/>
      <c r="J104" s="1165"/>
      <c r="K104" s="1165"/>
      <c r="L104" s="1165"/>
      <c r="M104" s="1165"/>
      <c r="N104" s="1165"/>
      <c r="O104" s="1165"/>
      <c r="P104" s="1165"/>
      <c r="Q104" s="1165"/>
      <c r="R104" s="1165"/>
      <c r="S104" s="1165"/>
      <c r="T104" s="1165"/>
      <c r="U104" s="1165"/>
      <c r="V104" s="1165"/>
      <c r="W104" s="1165"/>
      <c r="X104" s="1165"/>
      <c r="Y104" s="1165"/>
      <c r="Z104" s="1165"/>
      <c r="AA104" s="1165"/>
      <c r="AB104" s="1165"/>
      <c r="AC104" s="1165"/>
      <c r="AD104" s="1165"/>
      <c r="AE104" s="1165"/>
      <c r="AF104" s="1165"/>
      <c r="AG104" s="1165"/>
      <c r="AH104" s="1165"/>
      <c r="AI104" s="1165"/>
      <c r="AJ104" s="1165"/>
      <c r="AK104" s="1165"/>
      <c r="AL104" s="1165"/>
      <c r="AM104" s="1165"/>
      <c r="AN104" s="1165"/>
      <c r="AO104" s="1165"/>
      <c r="AP104" s="1165"/>
      <c r="AQ104" s="1165"/>
      <c r="AR104" s="1165"/>
      <c r="AS104" s="1165"/>
      <c r="AT104" s="1165"/>
      <c r="AU104" s="1165"/>
      <c r="AV104" s="1165"/>
      <c r="AW104" s="1165"/>
      <c r="AX104" s="1165"/>
      <c r="AY104" s="1166"/>
    </row>
    <row r="105" spans="1:51" x14ac:dyDescent="0.3">
      <c r="A105" s="1161" t="s">
        <v>3657</v>
      </c>
      <c r="B105" s="1162"/>
      <c r="C105" s="1162"/>
      <c r="D105" s="1162"/>
      <c r="E105" s="1162"/>
      <c r="F105" s="1162"/>
      <c r="G105" s="1162"/>
      <c r="H105" s="1162"/>
      <c r="I105" s="1162"/>
      <c r="J105" s="1162"/>
      <c r="K105" s="1162"/>
      <c r="L105" s="1162"/>
      <c r="M105" s="1162"/>
      <c r="N105" s="1162"/>
      <c r="O105" s="1162"/>
      <c r="P105" s="1162"/>
      <c r="Q105" s="1162"/>
      <c r="R105" s="1162"/>
      <c r="S105" s="1162"/>
      <c r="T105" s="1162"/>
      <c r="U105" s="1162"/>
      <c r="V105" s="1162"/>
      <c r="W105" s="1162"/>
      <c r="X105" s="1162"/>
      <c r="Y105" s="1162"/>
      <c r="Z105" s="1162"/>
      <c r="AA105" s="1162"/>
      <c r="AB105" s="1162"/>
      <c r="AC105" s="1162"/>
      <c r="AD105" s="1162"/>
      <c r="AE105" s="1162"/>
      <c r="AF105" s="1162"/>
      <c r="AG105" s="1162"/>
      <c r="AH105" s="1162"/>
      <c r="AI105" s="1162"/>
      <c r="AJ105" s="1162"/>
      <c r="AK105" s="1162"/>
      <c r="AL105" s="1162"/>
      <c r="AM105" s="1162"/>
      <c r="AN105" s="1162"/>
      <c r="AO105" s="1162"/>
      <c r="AP105" s="1162"/>
      <c r="AQ105" s="1162"/>
      <c r="AR105" s="1162"/>
      <c r="AS105" s="1162"/>
      <c r="AT105" s="1162"/>
      <c r="AU105" s="1162"/>
      <c r="AV105" s="1162"/>
      <c r="AW105" s="1162"/>
      <c r="AX105" s="1162"/>
      <c r="AY105" s="1163"/>
    </row>
    <row r="106" spans="1:51" x14ac:dyDescent="0.3">
      <c r="A106" s="1164" t="s">
        <v>3658</v>
      </c>
      <c r="B106" s="1165"/>
      <c r="C106" s="1165"/>
      <c r="D106" s="1165"/>
      <c r="E106" s="1165"/>
      <c r="F106" s="1165"/>
      <c r="G106" s="1165"/>
      <c r="H106" s="1165"/>
      <c r="I106" s="1165"/>
      <c r="J106" s="1165"/>
      <c r="K106" s="1165"/>
      <c r="L106" s="1165"/>
      <c r="M106" s="1165"/>
      <c r="N106" s="1165"/>
      <c r="O106" s="1165"/>
      <c r="P106" s="1165"/>
      <c r="Q106" s="1165"/>
      <c r="R106" s="1165"/>
      <c r="S106" s="1165"/>
      <c r="T106" s="1165"/>
      <c r="U106" s="1165"/>
      <c r="V106" s="1165"/>
      <c r="W106" s="1165"/>
      <c r="X106" s="1165"/>
      <c r="Y106" s="1165"/>
      <c r="Z106" s="1165"/>
      <c r="AA106" s="1165"/>
      <c r="AB106" s="1165"/>
      <c r="AC106" s="1165"/>
      <c r="AD106" s="1165"/>
      <c r="AE106" s="1165"/>
      <c r="AF106" s="1165"/>
      <c r="AG106" s="1165"/>
      <c r="AH106" s="1165"/>
      <c r="AI106" s="1165"/>
      <c r="AJ106" s="1165"/>
      <c r="AK106" s="1165"/>
      <c r="AL106" s="1165"/>
      <c r="AM106" s="1165"/>
      <c r="AN106" s="1165"/>
      <c r="AO106" s="1165"/>
      <c r="AP106" s="1165"/>
      <c r="AQ106" s="1165"/>
      <c r="AR106" s="1165"/>
      <c r="AS106" s="1165"/>
      <c r="AT106" s="1165"/>
      <c r="AU106" s="1165"/>
      <c r="AV106" s="1165"/>
      <c r="AW106" s="1165"/>
      <c r="AX106" s="1165"/>
      <c r="AY106" s="1166"/>
    </row>
    <row r="107" spans="1:51" x14ac:dyDescent="0.3">
      <c r="A107" s="1167" t="s">
        <v>3659</v>
      </c>
      <c r="B107" s="1168"/>
      <c r="C107" s="1168"/>
      <c r="D107" s="1168"/>
      <c r="E107" s="1168"/>
      <c r="F107" s="1168"/>
      <c r="G107" s="1168"/>
      <c r="H107" s="1168"/>
      <c r="I107" s="1168"/>
      <c r="J107" s="1168"/>
      <c r="K107" s="1168"/>
      <c r="L107" s="1168"/>
      <c r="M107" s="1168"/>
      <c r="N107" s="1168"/>
      <c r="O107" s="1168"/>
      <c r="P107" s="1168"/>
      <c r="Q107" s="1168"/>
      <c r="R107" s="1168"/>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8"/>
      <c r="AM107" s="1168"/>
      <c r="AN107" s="1168"/>
      <c r="AO107" s="1168"/>
      <c r="AP107" s="1168"/>
      <c r="AQ107" s="1168"/>
      <c r="AR107" s="1168"/>
      <c r="AS107" s="1168"/>
      <c r="AT107" s="1168"/>
      <c r="AU107" s="1168"/>
      <c r="AV107" s="1168"/>
      <c r="AW107" s="1168"/>
      <c r="AX107" s="1168"/>
      <c r="AY107" s="1169"/>
    </row>
    <row r="108" spans="1:51" ht="15" thickBot="1" x14ac:dyDescent="0.35">
      <c r="A108" s="1170" t="s">
        <v>3660</v>
      </c>
      <c r="B108" s="1171"/>
      <c r="C108" s="1171"/>
      <c r="D108" s="1171"/>
      <c r="E108" s="1171"/>
      <c r="F108" s="1171"/>
      <c r="G108" s="1171"/>
      <c r="H108" s="1171"/>
      <c r="I108" s="1171"/>
      <c r="J108" s="1171"/>
      <c r="K108" s="1171"/>
      <c r="L108" s="1171"/>
      <c r="M108" s="1171"/>
      <c r="N108" s="1171"/>
      <c r="O108" s="1171"/>
      <c r="P108" s="1171"/>
      <c r="Q108" s="1171"/>
      <c r="R108" s="1171"/>
      <c r="S108" s="1171"/>
      <c r="T108" s="1171"/>
      <c r="U108" s="1171"/>
      <c r="V108" s="1171"/>
      <c r="W108" s="1171"/>
      <c r="X108" s="1171"/>
      <c r="Y108" s="1171"/>
      <c r="Z108" s="1171"/>
      <c r="AA108" s="1171"/>
      <c r="AB108" s="1171"/>
      <c r="AC108" s="1171"/>
      <c r="AD108" s="1171"/>
      <c r="AE108" s="1171"/>
      <c r="AF108" s="1171"/>
      <c r="AG108" s="1171"/>
      <c r="AH108" s="1171"/>
      <c r="AI108" s="1171"/>
      <c r="AJ108" s="1171"/>
      <c r="AK108" s="1171"/>
      <c r="AL108" s="1171"/>
      <c r="AM108" s="1171"/>
      <c r="AN108" s="1171"/>
      <c r="AO108" s="1171"/>
      <c r="AP108" s="1171"/>
      <c r="AQ108" s="1171"/>
      <c r="AR108" s="1171"/>
      <c r="AS108" s="1171"/>
      <c r="AT108" s="1171"/>
      <c r="AU108" s="1171"/>
      <c r="AV108" s="1171"/>
      <c r="AW108" s="1171"/>
      <c r="AX108" s="1171"/>
      <c r="AY108" s="1172"/>
    </row>
  </sheetData>
  <sheetProtection algorithmName="SHA-512" hashValue="vTQWyWB/wtE74UzpCpPWDaw7gvedoQYm6Wr2W/JQ0cOBdioI1vYbiFK2IYoDj4pOJylDlRG8LTTneEE2e0S25A==" saltValue="NEMpPdDrJ6vW8X3Qi6Yjk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08" t="str">
        <f>template_label_unit_of_measurement_converter</f>
        <v>UNIT OF MEASUREMENT CONVERTER</v>
      </c>
      <c r="B1" s="1209"/>
      <c r="C1" s="1210"/>
    </row>
    <row r="2" spans="1:7" s="10" customFormat="1" ht="15" thickTop="1" x14ac:dyDescent="0.3">
      <c r="A2" s="18"/>
      <c r="B2" s="18"/>
      <c r="C2" s="18"/>
    </row>
    <row r="3" spans="1:7" ht="15" thickBot="1" x14ac:dyDescent="0.35">
      <c r="A3" s="10"/>
      <c r="B3" s="10"/>
      <c r="C3" s="10"/>
      <c r="D3" s="10"/>
    </row>
    <row r="4" spans="1:7" ht="15" thickBot="1" x14ac:dyDescent="0.35">
      <c r="A4" s="1205" t="str">
        <f>template_label_unit_of_measurement_of_mass_converter</f>
        <v>Unit of measurement of Mass Converter</v>
      </c>
      <c r="B4" s="1206"/>
      <c r="C4" s="1206"/>
      <c r="D4" s="1206"/>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05" t="str">
        <f>template_label_unit_of_measurement_of_volume_converter</f>
        <v>Unit of measurement of Volume Converter</v>
      </c>
      <c r="B8" s="1206"/>
      <c r="C8" s="1206"/>
      <c r="D8" s="1207"/>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05" t="str">
        <f>template_label_unit_of_measurement_of_energy_consumption_per_hour</f>
        <v>Unit of measurement of Energy Consumption per Hour</v>
      </c>
      <c r="B12" s="1206"/>
      <c r="C12" s="1206"/>
      <c r="D12" s="1207"/>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05" t="str">
        <f>template_label_unit_of_measurement_of_density_converter</f>
        <v>Unit of measurement of Density Converter</v>
      </c>
      <c r="B16" s="1206"/>
      <c r="C16" s="1206"/>
      <c r="D16" s="1207"/>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05" t="str">
        <f>template_label_unit_of_measurement_of_ncv_converter</f>
        <v>Unit of measurement of NCV Converter</v>
      </c>
      <c r="B20" s="1206"/>
      <c r="C20" s="1206"/>
      <c r="D20" s="1207"/>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x14ac:dyDescent="0.3">
      <c r="A2" s="388"/>
      <c r="B2" s="85"/>
      <c r="C2" s="387" t="s">
        <v>3949</v>
      </c>
      <c r="D2" s="475" t="s">
        <v>8948</v>
      </c>
      <c r="E2" s="475" t="s">
        <v>8945</v>
      </c>
      <c r="F2" s="475" t="s">
        <v>4625</v>
      </c>
      <c r="G2" s="475" t="s">
        <v>8947</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x14ac:dyDescent="0.3">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x14ac:dyDescent="0.3">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x14ac:dyDescent="0.3">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x14ac:dyDescent="0.3">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3.2" x14ac:dyDescent="0.3">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x14ac:dyDescent="0.3">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28.8" x14ac:dyDescent="0.3">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3.2" x14ac:dyDescent="0.3">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x14ac:dyDescent="0.3">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29.4" thickBot="1" x14ac:dyDescent="0.3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x14ac:dyDescent="0.3">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x14ac:dyDescent="0.3">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x14ac:dyDescent="0.3">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x14ac:dyDescent="0.3">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x14ac:dyDescent="0.3">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x14ac:dyDescent="0.3">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3.2" x14ac:dyDescent="0.3">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57.6" x14ac:dyDescent="0.3">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x14ac:dyDescent="0.3">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x14ac:dyDescent="0.3">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28.8" x14ac:dyDescent="0.3">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28.8" x14ac:dyDescent="0.3">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28.8" x14ac:dyDescent="0.3">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3.2" x14ac:dyDescent="0.3">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28.8" x14ac:dyDescent="0.3">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x14ac:dyDescent="0.3">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28.8" x14ac:dyDescent="0.3">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x14ac:dyDescent="0.3">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28.8" x14ac:dyDescent="0.3">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57.6" x14ac:dyDescent="0.3">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43.2" x14ac:dyDescent="0.3">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x14ac:dyDescent="0.3">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28.8" x14ac:dyDescent="0.3">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x14ac:dyDescent="0.3">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3.2" x14ac:dyDescent="0.3">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x14ac:dyDescent="0.3">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28.8" x14ac:dyDescent="0.3">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x14ac:dyDescent="0.3">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28.8" x14ac:dyDescent="0.3">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28.8" x14ac:dyDescent="0.3">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x14ac:dyDescent="0.3">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x14ac:dyDescent="0.3">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x14ac:dyDescent="0.3">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28.8" x14ac:dyDescent="0.3">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x14ac:dyDescent="0.3">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28.8" x14ac:dyDescent="0.3">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x14ac:dyDescent="0.3">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28.8" x14ac:dyDescent="0.3">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28.8" x14ac:dyDescent="0.3">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x14ac:dyDescent="0.3">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x14ac:dyDescent="0.3">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x14ac:dyDescent="0.3">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x14ac:dyDescent="0.3">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x14ac:dyDescent="0.3">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3.2" x14ac:dyDescent="0.3">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28.8" x14ac:dyDescent="0.3">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x14ac:dyDescent="0.3">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3.2" x14ac:dyDescent="0.3">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28.8" x14ac:dyDescent="0.3">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x14ac:dyDescent="0.3">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x14ac:dyDescent="0.3">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x14ac:dyDescent="0.3">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x14ac:dyDescent="0.3">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28.8" x14ac:dyDescent="0.3">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x14ac:dyDescent="0.3">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x14ac:dyDescent="0.3">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28.8" x14ac:dyDescent="0.3">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x14ac:dyDescent="0.3">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x14ac:dyDescent="0.3">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x14ac:dyDescent="0.3">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x14ac:dyDescent="0.3">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x14ac:dyDescent="0.3">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x14ac:dyDescent="0.3">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x14ac:dyDescent="0.3">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28.8" x14ac:dyDescent="0.3">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x14ac:dyDescent="0.3">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28.8" x14ac:dyDescent="0.3">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x14ac:dyDescent="0.3">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57.6" x14ac:dyDescent="0.3">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3.2" x14ac:dyDescent="0.3">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28.8" x14ac:dyDescent="0.3">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x14ac:dyDescent="0.3">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28.8" x14ac:dyDescent="0.3">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28.8" x14ac:dyDescent="0.3">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x14ac:dyDescent="0.3">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28.8" x14ac:dyDescent="0.3">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3.2" x14ac:dyDescent="0.3">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28.8" x14ac:dyDescent="0.3">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28.8" x14ac:dyDescent="0.3">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x14ac:dyDescent="0.3">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x14ac:dyDescent="0.3">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x14ac:dyDescent="0.3">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x14ac:dyDescent="0.3">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57.6" x14ac:dyDescent="0.3">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28.8" x14ac:dyDescent="0.3">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28.8" x14ac:dyDescent="0.3">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29.4" thickBot="1" x14ac:dyDescent="0.3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x14ac:dyDescent="0.3">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x14ac:dyDescent="0.3">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x14ac:dyDescent="0.3">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x14ac:dyDescent="0.3">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3.8" thickBot="1" x14ac:dyDescent="0.3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3.2" x14ac:dyDescent="0.3">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x14ac:dyDescent="0.3">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x14ac:dyDescent="0.3">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x14ac:dyDescent="0.3">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x14ac:dyDescent="0.3">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x14ac:dyDescent="0.3">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58.2" thickBot="1" x14ac:dyDescent="0.3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x14ac:dyDescent="0.3">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28.8" x14ac:dyDescent="0.3">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28.8" x14ac:dyDescent="0.3">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x14ac:dyDescent="0.3">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x14ac:dyDescent="0.3">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x14ac:dyDescent="0.3">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x14ac:dyDescent="0.3">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x14ac:dyDescent="0.3">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28.8" x14ac:dyDescent="0.3">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28.8" x14ac:dyDescent="0.3">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x14ac:dyDescent="0.3">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5" thickBot="1" x14ac:dyDescent="0.3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x14ac:dyDescent="0.3">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3.2" x14ac:dyDescent="0.3">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28.8" x14ac:dyDescent="0.3">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29.4" thickBot="1" x14ac:dyDescent="0.3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28.8" x14ac:dyDescent="0.3">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28.8" x14ac:dyDescent="0.3">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28.8" x14ac:dyDescent="0.3">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28.8" x14ac:dyDescent="0.3">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x14ac:dyDescent="0.3">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x14ac:dyDescent="0.3">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x14ac:dyDescent="0.3">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x14ac:dyDescent="0.3">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x14ac:dyDescent="0.3">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x14ac:dyDescent="0.3">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3.2" x14ac:dyDescent="0.3">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28.8" x14ac:dyDescent="0.3">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29.4" thickBot="1" x14ac:dyDescent="0.3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x14ac:dyDescent="0.3">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x14ac:dyDescent="0.3">
      <c r="A156" t="s">
        <v>4108</v>
      </c>
      <c r="B156" s="423" t="str">
        <f t="shared" si="6"/>
        <v>ID</v>
      </c>
      <c r="C156" t="s">
        <v>6</v>
      </c>
      <c r="D156" s="470" t="s">
        <v>6</v>
      </c>
      <c r="E156" s="470" t="s">
        <v>6</v>
      </c>
      <c r="F156" s="471" t="s">
        <v>7699</v>
      </c>
      <c r="G156" t="s">
        <v>6</v>
      </c>
      <c r="H156" s="89" t="s">
        <v>6</v>
      </c>
      <c r="I156" s="89" t="s">
        <v>6</v>
      </c>
      <c r="J156" s="89" t="s">
        <v>6</v>
      </c>
      <c r="K156" s="456" t="s">
        <v>6</v>
      </c>
    </row>
    <row r="157" spans="1:11" x14ac:dyDescent="0.3">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29.4" thickBot="1" x14ac:dyDescent="0.3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28.8" x14ac:dyDescent="0.3">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28.8" x14ac:dyDescent="0.3">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28.8" x14ac:dyDescent="0.3">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x14ac:dyDescent="0.3">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x14ac:dyDescent="0.3">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3.2" x14ac:dyDescent="0.3">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x14ac:dyDescent="0.3">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x14ac:dyDescent="0.3">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28.8" x14ac:dyDescent="0.3">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3.2" x14ac:dyDescent="0.3">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43.2" x14ac:dyDescent="0.3">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28.8" x14ac:dyDescent="0.3">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x14ac:dyDescent="0.3">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x14ac:dyDescent="0.3">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x14ac:dyDescent="0.3">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x14ac:dyDescent="0.3">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x14ac:dyDescent="0.3">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x14ac:dyDescent="0.3">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x14ac:dyDescent="0.3">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x14ac:dyDescent="0.3">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x14ac:dyDescent="0.3">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5" thickBot="1" x14ac:dyDescent="0.3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x14ac:dyDescent="0.3">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43.2" x14ac:dyDescent="0.3">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3.2" x14ac:dyDescent="0.3">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3.2" x14ac:dyDescent="0.3">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28.8" x14ac:dyDescent="0.3">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28.8" x14ac:dyDescent="0.3">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57.6" x14ac:dyDescent="0.3">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29.4" thickBot="1" x14ac:dyDescent="0.3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28.8" x14ac:dyDescent="0.3">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43.8" thickBot="1" x14ac:dyDescent="0.3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x14ac:dyDescent="0.3">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29.4" thickBot="1" x14ac:dyDescent="0.3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x14ac:dyDescent="0.3">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3.2" x14ac:dyDescent="0.3">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x14ac:dyDescent="0.3">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x14ac:dyDescent="0.3">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x14ac:dyDescent="0.3">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28.8" x14ac:dyDescent="0.3">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x14ac:dyDescent="0.3">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29.4" thickBot="1" x14ac:dyDescent="0.3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57.6" x14ac:dyDescent="0.3">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x14ac:dyDescent="0.3">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28.8" x14ac:dyDescent="0.3">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x14ac:dyDescent="0.3">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x14ac:dyDescent="0.3">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x14ac:dyDescent="0.3">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x14ac:dyDescent="0.3">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x14ac:dyDescent="0.3">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x14ac:dyDescent="0.3">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28.8" x14ac:dyDescent="0.3">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28.8" x14ac:dyDescent="0.3">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28.8" x14ac:dyDescent="0.3">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28.8" x14ac:dyDescent="0.3">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28.8" x14ac:dyDescent="0.3">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x14ac:dyDescent="0.3">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x14ac:dyDescent="0.3">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28.8" x14ac:dyDescent="0.3">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x14ac:dyDescent="0.3">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x14ac:dyDescent="0.3">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x14ac:dyDescent="0.3">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x14ac:dyDescent="0.3">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x14ac:dyDescent="0.3">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x14ac:dyDescent="0.3">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x14ac:dyDescent="0.3">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x14ac:dyDescent="0.3">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28.8" x14ac:dyDescent="0.3">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x14ac:dyDescent="0.3">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x14ac:dyDescent="0.3">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x14ac:dyDescent="0.3">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x14ac:dyDescent="0.3">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28.8" x14ac:dyDescent="0.3">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29.4" thickBot="1" x14ac:dyDescent="0.3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43.2" x14ac:dyDescent="0.3">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28.8" x14ac:dyDescent="0.3">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28.8" x14ac:dyDescent="0.3">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28.8" x14ac:dyDescent="0.3">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3.2" x14ac:dyDescent="0.3">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x14ac:dyDescent="0.3">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x14ac:dyDescent="0.3">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x14ac:dyDescent="0.3">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28.8" x14ac:dyDescent="0.3">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28.8" x14ac:dyDescent="0.3">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28.8" x14ac:dyDescent="0.3">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28.8" x14ac:dyDescent="0.3">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29.4" thickBot="1" x14ac:dyDescent="0.3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x14ac:dyDescent="0.3">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28.8" x14ac:dyDescent="0.3">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28.8" x14ac:dyDescent="0.3">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28.8" x14ac:dyDescent="0.3">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x14ac:dyDescent="0.3">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3.2" x14ac:dyDescent="0.3">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x14ac:dyDescent="0.3">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x14ac:dyDescent="0.3">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5" thickBot="1" x14ac:dyDescent="0.3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28.8" x14ac:dyDescent="0.3">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3.2" x14ac:dyDescent="0.3">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28.8" x14ac:dyDescent="0.3">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28.8" x14ac:dyDescent="0.3">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57.6" x14ac:dyDescent="0.3">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x14ac:dyDescent="0.3">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28.8" x14ac:dyDescent="0.3">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29.4" thickBot="1" x14ac:dyDescent="0.3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x14ac:dyDescent="0.3">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x14ac:dyDescent="0.3">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x14ac:dyDescent="0.3">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x14ac:dyDescent="0.3">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28.8" x14ac:dyDescent="0.3">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28.8" x14ac:dyDescent="0.3">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5" thickBot="1" x14ac:dyDescent="0.3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x14ac:dyDescent="0.3">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28.8" x14ac:dyDescent="0.3">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29.4" thickBot="1" x14ac:dyDescent="0.3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28.8" x14ac:dyDescent="0.3">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28.8" x14ac:dyDescent="0.3">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5" thickBot="1" x14ac:dyDescent="0.3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x14ac:dyDescent="0.3">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28.8" x14ac:dyDescent="0.3">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29.4" thickBot="1" x14ac:dyDescent="0.3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28.8" x14ac:dyDescent="0.3">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x14ac:dyDescent="0.3">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x14ac:dyDescent="0.3">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28.8" x14ac:dyDescent="0.3">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x14ac:dyDescent="0.3">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28.8" x14ac:dyDescent="0.3">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x14ac:dyDescent="0.3">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x14ac:dyDescent="0.3">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28.8" x14ac:dyDescent="0.3">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x14ac:dyDescent="0.3">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x14ac:dyDescent="0.3">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x14ac:dyDescent="0.3">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x14ac:dyDescent="0.3">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5" thickBot="1" x14ac:dyDescent="0.3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28.8" x14ac:dyDescent="0.3">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8" customHeight="1" x14ac:dyDescent="0.3">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x14ac:dyDescent="0.3">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x14ac:dyDescent="0.3">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28.8" x14ac:dyDescent="0.3">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x14ac:dyDescent="0.3">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29.4" thickBot="1" x14ac:dyDescent="0.3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x14ac:dyDescent="0.3">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28.8" x14ac:dyDescent="0.3">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28.8" x14ac:dyDescent="0.3">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3.2" x14ac:dyDescent="0.3">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29.4" thickBot="1" x14ac:dyDescent="0.3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3.2" x14ac:dyDescent="0.3">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28.8" x14ac:dyDescent="0.3">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x14ac:dyDescent="0.3">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x14ac:dyDescent="0.3">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x14ac:dyDescent="0.3">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5" thickBot="1" x14ac:dyDescent="0.3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x14ac:dyDescent="0.3">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x14ac:dyDescent="0.3">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x14ac:dyDescent="0.3">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x14ac:dyDescent="0.3">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x14ac:dyDescent="0.3">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5" thickBot="1" x14ac:dyDescent="0.3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28.8" x14ac:dyDescent="0.3">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3.2" x14ac:dyDescent="0.3">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29.4" thickBot="1" x14ac:dyDescent="0.3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28.8" x14ac:dyDescent="0.3">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28.8" x14ac:dyDescent="0.3">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x14ac:dyDescent="0.3">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x14ac:dyDescent="0.3">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43.8" thickBot="1" x14ac:dyDescent="0.3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3.2" x14ac:dyDescent="0.3">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28.8" x14ac:dyDescent="0.3">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28.8" x14ac:dyDescent="0.3">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28.8" x14ac:dyDescent="0.3">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28.8" x14ac:dyDescent="0.3">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29.4" thickBot="1" x14ac:dyDescent="0.3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57.6" x14ac:dyDescent="0.3">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28.8" x14ac:dyDescent="0.3">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28.8" x14ac:dyDescent="0.3">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28.8" x14ac:dyDescent="0.3">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28.8" x14ac:dyDescent="0.3">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29.4" thickBot="1" x14ac:dyDescent="0.3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28.8" x14ac:dyDescent="0.3">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29.4" thickBot="1" x14ac:dyDescent="0.3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28.8" x14ac:dyDescent="0.3">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x14ac:dyDescent="0.3">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x14ac:dyDescent="0.3">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28.8" x14ac:dyDescent="0.3">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28.8" x14ac:dyDescent="0.3">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3.8" thickBot="1" x14ac:dyDescent="0.3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3.2" x14ac:dyDescent="0.3">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3.2" x14ac:dyDescent="0.3">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x14ac:dyDescent="0.3">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x14ac:dyDescent="0.3">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x14ac:dyDescent="0.3">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x14ac:dyDescent="0.3">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x14ac:dyDescent="0.3">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x14ac:dyDescent="0.3">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x14ac:dyDescent="0.3">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43.2" x14ac:dyDescent="0.3">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29.4" thickBot="1" x14ac:dyDescent="0.3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28.8" x14ac:dyDescent="0.3">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43.2" x14ac:dyDescent="0.3">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x14ac:dyDescent="0.3">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28.8" x14ac:dyDescent="0.3">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57.6" x14ac:dyDescent="0.3">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72" x14ac:dyDescent="0.3">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29.4" thickBot="1" x14ac:dyDescent="0.3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28.8" x14ac:dyDescent="0.3">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28.8" x14ac:dyDescent="0.3">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3.2" x14ac:dyDescent="0.3">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3.8" thickBot="1" x14ac:dyDescent="0.3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x14ac:dyDescent="0.3">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28.8" x14ac:dyDescent="0.3">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x14ac:dyDescent="0.3">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3.2" x14ac:dyDescent="0.3">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28.8" x14ac:dyDescent="0.3">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x14ac:dyDescent="0.3">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x14ac:dyDescent="0.3">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x14ac:dyDescent="0.3">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29.4" thickBot="1" x14ac:dyDescent="0.3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28.8" x14ac:dyDescent="0.3">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28.8" x14ac:dyDescent="0.3">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3.2" x14ac:dyDescent="0.3">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3.2" x14ac:dyDescent="0.3">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3.2" x14ac:dyDescent="0.3">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57.6" x14ac:dyDescent="0.3">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x14ac:dyDescent="0.3">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x14ac:dyDescent="0.3">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3.2" x14ac:dyDescent="0.3">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28.8" x14ac:dyDescent="0.3">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28.8" x14ac:dyDescent="0.3">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29.4" thickBot="1" x14ac:dyDescent="0.3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29.4" thickBot="1" x14ac:dyDescent="0.3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x14ac:dyDescent="0.3">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x14ac:dyDescent="0.3">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x14ac:dyDescent="0.3">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x14ac:dyDescent="0.3">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x14ac:dyDescent="0.3">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x14ac:dyDescent="0.3">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x14ac:dyDescent="0.3">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x14ac:dyDescent="0.3">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3.2" x14ac:dyDescent="0.3">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x14ac:dyDescent="0.3">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28.8" x14ac:dyDescent="0.3">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28.8" x14ac:dyDescent="0.3">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28.8" x14ac:dyDescent="0.3">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28.8" x14ac:dyDescent="0.3">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28.8" x14ac:dyDescent="0.3">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28.8" x14ac:dyDescent="0.3">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28.8" x14ac:dyDescent="0.3">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x14ac:dyDescent="0.3">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28.8" x14ac:dyDescent="0.3">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x14ac:dyDescent="0.3">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57.6" x14ac:dyDescent="0.3">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x14ac:dyDescent="0.3">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x14ac:dyDescent="0.3">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28.8" x14ac:dyDescent="0.3">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3.2" x14ac:dyDescent="0.3">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28.8" x14ac:dyDescent="0.3">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x14ac:dyDescent="0.3">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x14ac:dyDescent="0.3">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28.8" x14ac:dyDescent="0.3">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x14ac:dyDescent="0.3">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5" thickBot="1" x14ac:dyDescent="0.3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x14ac:dyDescent="0.3">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x14ac:dyDescent="0.3">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x14ac:dyDescent="0.3">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x14ac:dyDescent="0.3">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x14ac:dyDescent="0.3">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28.8" x14ac:dyDescent="0.3">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3.2" x14ac:dyDescent="0.3">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x14ac:dyDescent="0.3">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x14ac:dyDescent="0.3">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57.6" x14ac:dyDescent="0.3">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28.8" x14ac:dyDescent="0.3">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28.8" x14ac:dyDescent="0.3">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x14ac:dyDescent="0.3">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3.2" x14ac:dyDescent="0.3">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28.8" x14ac:dyDescent="0.3">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x14ac:dyDescent="0.3">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x14ac:dyDescent="0.3">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x14ac:dyDescent="0.3">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x14ac:dyDescent="0.3">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5" thickBot="1" x14ac:dyDescent="0.3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x14ac:dyDescent="0.3">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28.8" x14ac:dyDescent="0.3">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x14ac:dyDescent="0.3">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x14ac:dyDescent="0.3">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x14ac:dyDescent="0.3">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x14ac:dyDescent="0.3">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28.8" x14ac:dyDescent="0.3">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x14ac:dyDescent="0.3">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x14ac:dyDescent="0.3">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x14ac:dyDescent="0.3">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x14ac:dyDescent="0.3">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28.8" x14ac:dyDescent="0.3">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28.8" x14ac:dyDescent="0.3">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28.8" x14ac:dyDescent="0.3">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72" x14ac:dyDescent="0.3">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28.8" x14ac:dyDescent="0.3">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57.6" x14ac:dyDescent="0.3">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3.2" x14ac:dyDescent="0.3">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3.2" x14ac:dyDescent="0.3">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57.6" x14ac:dyDescent="0.3">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57.6" x14ac:dyDescent="0.3">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72" x14ac:dyDescent="0.3">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28.8" x14ac:dyDescent="0.3">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 - -</v>
      </c>
      <c r="C1" t="s">
        <v>4358</v>
      </c>
      <c r="D1" t="s">
        <v>3555</v>
      </c>
      <c r="E1" t="s">
        <v>3556</v>
      </c>
      <c r="F1" t="s">
        <v>3557</v>
      </c>
      <c r="G1" t="s">
        <v>3558</v>
      </c>
    </row>
    <row r="2" spans="1:7" ht="13.95" customHeight="1" x14ac:dyDescent="0.3">
      <c r="A2" t="s">
        <v>4372</v>
      </c>
      <c r="B2" t="str">
        <f>template_reporting_period_startdate</f>
        <v>-</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t="e">
        <f t="shared" ref="E2:E26" si="0">MID(D2,SEARCH("""lat"":""",D2)+7,SEARCH("""lon"":""",D2)-SEARCH("""lat"":""",D2)-9)</f>
        <v>#VALUE!</v>
      </c>
      <c r="F2" s="315" t="e">
        <f t="shared" ref="F2:F26" si="1">MID(D2, SEARCH("""lon"":""", D2) + 7, SEARCH("""class""", D2) - SEARCH("""lon"":""", D2) - 9)</f>
        <v>#VALUE!</v>
      </c>
      <c r="G2" t="e">
        <f t="shared" ref="G2:G26" si="2">E2 &amp; "," &amp; F2</f>
        <v>#VALUE!</v>
      </c>
    </row>
    <row r="3" spans="1:7" ht="15.6" customHeight="1" x14ac:dyDescent="0.3">
      <c r="A3" t="s">
        <v>3062</v>
      </c>
      <c r="B3" t="str">
        <f>template_reporting_period_enddate</f>
        <v>-</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2.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Hárky</vt:lpstr>
      </vt:variant>
      <vt:variant>
        <vt:i4>13</vt:i4>
      </vt:variant>
      <vt:variant>
        <vt:lpstr>Pomenované rozsahy</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RevenueDerivedFromChemicalProduction</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template_label_child_labour</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template_label_revenue_derived_from_chemicals_production</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Michal Mažár</cp:lastModifiedBy>
  <cp:revision/>
  <dcterms:created xsi:type="dcterms:W3CDTF">2025-01-13T10:12:12Z</dcterms:created>
  <dcterms:modified xsi:type="dcterms:W3CDTF">2026-02-14T16:54:47Z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